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4"/>
    <sheet state="visible" name="Propuestas " sheetId="2" r:id="rId5"/>
    <sheet state="visible" name="Lulelé" sheetId="3" r:id="rId6"/>
    <sheet state="visible" name="Ana Laura" sheetId="4" r:id="rId7"/>
    <sheet state="visible" name="Crumel" sheetId="5" r:id="rId8"/>
    <sheet state="visible" name="Del Buen PAN" sheetId="6" r:id="rId9"/>
    <sheet state="visible" name="SUCULENTa" sheetId="7" r:id="rId10"/>
    <sheet state="visible" name="Distribuidora" sheetId="8" r:id="rId11"/>
    <sheet state="visible" name="Dayrico" sheetId="9" r:id="rId12"/>
    <sheet state="visible" name="Amaranto" sheetId="10" r:id="rId13"/>
    <sheet state="visible" name="Conaprole" sheetId="11" r:id="rId14"/>
    <sheet state="visible" name="MALATIC" sheetId="12" r:id="rId15"/>
    <sheet state="visible" name="Sierra de Minas" sheetId="13" r:id="rId16"/>
    <sheet state="hidden" name="Agustina" sheetId="14" r:id="rId17"/>
    <sheet state="visible" name="BADINTUR" sheetId="15" r:id="rId18"/>
    <sheet state="visible" name="Café" sheetId="16" r:id="rId19"/>
    <sheet state="hidden" name="ARCOR" sheetId="17" r:id="rId20"/>
    <sheet state="visible" name="Farinur" sheetId="18" r:id="rId21"/>
    <sheet state="visible" name="La Paz" sheetId="19" r:id="rId22"/>
    <sheet state="hidden" name="FELISPARK" sheetId="20" r:id="rId23"/>
    <sheet state="hidden" name="PEPSI" sheetId="21" r:id="rId24"/>
    <sheet state="hidden" name="Samai" sheetId="22" r:id="rId25"/>
    <sheet state="hidden" name="VEGONUTS" sheetId="23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+1330 de un pedido del viernes
	-Servicios del CECSo
que hicimos por llamada
	-Servicios del CECSo</t>
      </text>
    </comment>
  </commentList>
</comments>
</file>

<file path=xl/sharedStrings.xml><?xml version="1.0" encoding="utf-8"?>
<sst xmlns="http://schemas.openxmlformats.org/spreadsheetml/2006/main" count="878" uniqueCount="548">
  <si>
    <r>
      <rPr>
        <rFont val="Arial"/>
        <b/>
        <color rgb="FFF3F3F3"/>
      </rPr>
      <t xml:space="preserve">LISTA DE PROVEEDORES </t>
    </r>
    <r>
      <rPr>
        <rFont val="Arial"/>
        <b/>
        <color rgb="FF000000"/>
      </rPr>
      <t>ACTUALIZAR</t>
    </r>
  </si>
  <si>
    <t xml:space="preserve">Nombre </t>
  </si>
  <si>
    <t xml:space="preserve">¿Qué trae? </t>
  </si>
  <si>
    <t xml:space="preserve">Contacto </t>
  </si>
  <si>
    <t>Empresa</t>
  </si>
  <si>
    <t>Día que pasa</t>
  </si>
  <si>
    <t>Carlos López</t>
  </si>
  <si>
    <t>Salus</t>
  </si>
  <si>
    <t>094796160</t>
  </si>
  <si>
    <t>Malatic</t>
  </si>
  <si>
    <t>Martes (a la mañana)</t>
  </si>
  <si>
    <t>Activo</t>
  </si>
  <si>
    <t>-</t>
  </si>
  <si>
    <t xml:space="preserve">Alfajores </t>
  </si>
  <si>
    <t>095456101</t>
  </si>
  <si>
    <t>Punta Ballena</t>
  </si>
  <si>
    <t>Ruso</t>
  </si>
  <si>
    <t>Alfajores y galletitas (artesanal)</t>
  </si>
  <si>
    <t>099911911</t>
  </si>
  <si>
    <t>Lulelé</t>
  </si>
  <si>
    <t xml:space="preserve">Viernes (generalmente) </t>
  </si>
  <si>
    <t>Yerba, golosinas, jugos</t>
  </si>
  <si>
    <t>Samai</t>
  </si>
  <si>
    <t>Richard</t>
  </si>
  <si>
    <t>Alfajores y galletitas</t>
  </si>
  <si>
    <t>099368286</t>
  </si>
  <si>
    <t>Agmami</t>
  </si>
  <si>
    <t>Diego</t>
  </si>
  <si>
    <t xml:space="preserve">Jugos </t>
  </si>
  <si>
    <t xml:space="preserve">Dayrico </t>
  </si>
  <si>
    <t xml:space="preserve">Jueves </t>
  </si>
  <si>
    <t xml:space="preserve">Joaquín </t>
  </si>
  <si>
    <t>Panadería</t>
  </si>
  <si>
    <t xml:space="preserve">Del Buen Pan </t>
  </si>
  <si>
    <t xml:space="preserve"> Todos</t>
  </si>
  <si>
    <t>Cecilia y Marina</t>
  </si>
  <si>
    <t>Galletas, Scons, etc (artesanal)</t>
  </si>
  <si>
    <t>098184022 (Mariana) – 094610876 (Cecilia)</t>
  </si>
  <si>
    <t>Amaranto</t>
  </si>
  <si>
    <t>Andrés</t>
  </si>
  <si>
    <t>Tic-tac, Ricard, Maní Japonés</t>
  </si>
  <si>
    <t>098 242 383</t>
  </si>
  <si>
    <t>Across</t>
  </si>
  <si>
    <t>Fabián</t>
  </si>
  <si>
    <t>Alfajores y Galletas</t>
  </si>
  <si>
    <t>Fini y Nativo</t>
  </si>
  <si>
    <t>Adrián</t>
  </si>
  <si>
    <t>Productos lácteos</t>
  </si>
  <si>
    <t>094932880</t>
  </si>
  <si>
    <t>Conaprole</t>
  </si>
  <si>
    <t>Miércoles</t>
  </si>
  <si>
    <t>javier</t>
  </si>
  <si>
    <t>Diego Visconti</t>
  </si>
  <si>
    <t>098 976 045</t>
  </si>
  <si>
    <t>Viernes</t>
  </si>
  <si>
    <t>Pablo Martirena</t>
  </si>
  <si>
    <t>Milka, oreos, cerealitas</t>
  </si>
  <si>
    <t>Nerlian SA</t>
  </si>
  <si>
    <t>Beatriz</t>
  </si>
  <si>
    <t>Alfajores</t>
  </si>
  <si>
    <t>Portezuelo</t>
  </si>
  <si>
    <t>Estefano</t>
  </si>
  <si>
    <t>Alfajores y barras ritter</t>
  </si>
  <si>
    <t>Sierras de Minas</t>
  </si>
  <si>
    <t>Javier</t>
  </si>
  <si>
    <t>Barritas sin azucar</t>
  </si>
  <si>
    <t>99 505 329</t>
  </si>
  <si>
    <t>Natural Bars</t>
  </si>
  <si>
    <t>José</t>
  </si>
  <si>
    <t>099 863 302</t>
  </si>
  <si>
    <t>Juana la loca</t>
  </si>
  <si>
    <t>Damián</t>
  </si>
  <si>
    <t>Sebamar</t>
  </si>
  <si>
    <t>Fernando Machin</t>
  </si>
  <si>
    <t>Expendedora Yerba – Sara</t>
  </si>
  <si>
    <t>Sara</t>
  </si>
  <si>
    <t>Mauro</t>
  </si>
  <si>
    <t>Alfjores bon o bon, hogareñas, tortitas</t>
  </si>
  <si>
    <t>Arcor</t>
  </si>
  <si>
    <t>Telsoft</t>
  </si>
  <si>
    <t xml:space="preserve">Azúcar, artículos de cocina </t>
  </si>
  <si>
    <t xml:space="preserve">TELSOFT </t>
  </si>
  <si>
    <t>canarias/farinur</t>
  </si>
  <si>
    <t>Yerba y,,</t>
  </si>
  <si>
    <t>FARINUR</t>
  </si>
  <si>
    <t>Lunes</t>
  </si>
  <si>
    <t>Natural bars, De la tierra</t>
  </si>
  <si>
    <t>Barras cereal</t>
  </si>
  <si>
    <t>´098981607</t>
  </si>
  <si>
    <t>Proveedorx</t>
  </si>
  <si>
    <t>Contacto</t>
  </si>
  <si>
    <t xml:space="preserve">Fecha </t>
  </si>
  <si>
    <t>Cecilia</t>
  </si>
  <si>
    <t>Verónica Kent</t>
  </si>
  <si>
    <t>PRODUCTOS</t>
  </si>
  <si>
    <t xml:space="preserve">Precio </t>
  </si>
  <si>
    <t>Precio Unitario</t>
  </si>
  <si>
    <t>Costo x 1,3</t>
  </si>
  <si>
    <t>Precio Venta al publi,</t>
  </si>
  <si>
    <t>Torta de fiambre</t>
  </si>
  <si>
    <t xml:space="preserve">Budín de limón </t>
  </si>
  <si>
    <t xml:space="preserve">Torta de pollo </t>
  </si>
  <si>
    <t>Budín de naranja</t>
  </si>
  <si>
    <t xml:space="preserve">Tarta JyQ </t>
  </si>
  <si>
    <t>Pan de banana</t>
  </si>
  <si>
    <t>Tarta Puerro y Panceta</t>
  </si>
  <si>
    <t>Alfajores de chocolate</t>
  </si>
  <si>
    <t xml:space="preserve">Tarta Zapallito </t>
  </si>
  <si>
    <t>Muffin de vainilla con chispas</t>
  </si>
  <si>
    <t>Tarta Cebolla y Queso</t>
  </si>
  <si>
    <t>Muffin de arándanos</t>
  </si>
  <si>
    <t>Tarta Verduras</t>
  </si>
  <si>
    <t>Muffin de chocolate</t>
  </si>
  <si>
    <t>Pastafrola</t>
  </si>
  <si>
    <t>Espejitos</t>
  </si>
  <si>
    <t>Alfajores de maicena</t>
  </si>
  <si>
    <t>Pastafola (dulce de leche o membrillo)</t>
  </si>
  <si>
    <t>Torta de Manzana, Ricotta y Pasas</t>
  </si>
  <si>
    <t>Torta de Chocolate</t>
  </si>
  <si>
    <t>Fecha:</t>
  </si>
  <si>
    <t>Cantidades</t>
  </si>
  <si>
    <t>Pago</t>
  </si>
  <si>
    <t>BOLETAS CON IVA</t>
  </si>
  <si>
    <t>Galletas Dulces</t>
  </si>
  <si>
    <t>Galletas saladas</t>
  </si>
  <si>
    <t>Alfajores de DL y Guayaba</t>
  </si>
  <si>
    <t>Alfajores de Dulce de Leche y guayaba (SIN TACC)</t>
  </si>
  <si>
    <t>A pagar</t>
  </si>
  <si>
    <t>Pagamos?</t>
  </si>
  <si>
    <t>Total de pago</t>
  </si>
  <si>
    <t>Total IVA 10%</t>
  </si>
  <si>
    <t>Total IVA 22%</t>
  </si>
  <si>
    <r>
      <rPr>
        <rFont val="Arial"/>
        <b/>
        <color theme="1"/>
      </rPr>
      <t xml:space="preserve">RESULTADO SOLO IVA </t>
    </r>
    <r>
      <rPr>
        <rFont val="Arial"/>
        <b val="0"/>
        <color theme="1"/>
        <sz val="9.0"/>
      </rPr>
      <t>(negativo le falta, positivo le sobra)</t>
    </r>
  </si>
  <si>
    <t>Monto pagado</t>
  </si>
  <si>
    <t>Facturado 10%</t>
  </si>
  <si>
    <t>Facturado 22%</t>
  </si>
  <si>
    <t>Diferencia</t>
  </si>
  <si>
    <t>Galletas Saladas</t>
  </si>
  <si>
    <t>Alfajores de Dulce de Leche y guayaba</t>
  </si>
  <si>
    <t>si</t>
  </si>
  <si>
    <t xml:space="preserve">Precio Unitario
</t>
  </si>
  <si>
    <t>?</t>
  </si>
  <si>
    <t xml:space="preserve">Costo x 1,3
</t>
  </si>
  <si>
    <t xml:space="preserve">Precio venta
</t>
  </si>
  <si>
    <t>si 01/04/2025</t>
  </si>
  <si>
    <t>Multiplicador 10%</t>
  </si>
  <si>
    <t>si 7/4</t>
  </si>
  <si>
    <t>si 21/04</t>
  </si>
  <si>
    <t>si 29/04</t>
  </si>
  <si>
    <t>si 6/5</t>
  </si>
  <si>
    <t>si,13/5</t>
  </si>
  <si>
    <t>sip</t>
  </si>
  <si>
    <t>si28/85</t>
  </si>
  <si>
    <t xml:space="preserve">$2000 efe/ 7500 tranferencia </t>
  </si>
  <si>
    <t>si por transferencia</t>
  </si>
  <si>
    <t>si 24/06</t>
  </si>
  <si>
    <t>si 19/08</t>
  </si>
  <si>
    <t>si 26/08</t>
  </si>
  <si>
    <t>si 2/09</t>
  </si>
  <si>
    <t>/</t>
  </si>
  <si>
    <t>FECHA</t>
  </si>
  <si>
    <t>Yo-Yo X20</t>
  </si>
  <si>
    <t>Espejitos X12</t>
  </si>
  <si>
    <t>Grisines Gral</t>
  </si>
  <si>
    <t>ALFAJOR MINI MANI</t>
  </si>
  <si>
    <t>BARQUILLOS</t>
  </si>
  <si>
    <t>Pan con Grasa</t>
  </si>
  <si>
    <t>OJITOS x2</t>
  </si>
  <si>
    <t>MANI JAPONES 100g</t>
  </si>
  <si>
    <t xml:space="preserve">Palichip </t>
  </si>
  <si>
    <t>Bloque DDL</t>
  </si>
  <si>
    <t>Pañuelos</t>
  </si>
  <si>
    <t>Maní Japonés 70 gr</t>
  </si>
  <si>
    <t>Extras</t>
  </si>
  <si>
    <t>Fecha</t>
  </si>
  <si>
    <t>Facturado</t>
  </si>
  <si>
    <t>Precio venta</t>
  </si>
  <si>
    <t>Zeta</t>
  </si>
  <si>
    <t>Yoyo Bandeja de 20 unidades</t>
  </si>
  <si>
    <t>Espejitos bandeja 12</t>
  </si>
  <si>
    <t>Grisines</t>
  </si>
  <si>
    <t>Alfajor Mini Mani</t>
  </si>
  <si>
    <t xml:space="preserve">Barquillos </t>
  </si>
  <si>
    <t>OJITOS x 2 (Bandeja de,,)</t>
  </si>
  <si>
    <t>Mani Japones 100g</t>
  </si>
  <si>
    <t>Pali chip</t>
  </si>
  <si>
    <t>Bloque ddl nazarena</t>
  </si>
  <si>
    <t>Pañuelo elite</t>
  </si>
  <si>
    <t>Maní Japonés 70gr</t>
  </si>
  <si>
    <t xml:space="preserve">Numero de cuenta </t>
  </si>
  <si>
    <t xml:space="preserve">Prex </t>
  </si>
  <si>
    <t>Fecha Pedido</t>
  </si>
  <si>
    <t>Chips</t>
  </si>
  <si>
    <t>Rocklets</t>
  </si>
  <si>
    <t xml:space="preserve">Arandanos </t>
  </si>
  <si>
    <t>Choco, Crema de mani y harina de avena</t>
  </si>
  <si>
    <t>Limon</t>
  </si>
  <si>
    <t>Red velvet</t>
  </si>
  <si>
    <t>Brownies</t>
  </si>
  <si>
    <t>Galletitas abuelita</t>
  </si>
  <si>
    <t>Fecha pago</t>
  </si>
  <si>
    <t>Precio x1,3</t>
  </si>
  <si>
    <t>normales chips</t>
  </si>
  <si>
    <t>b</t>
  </si>
  <si>
    <t>rocklets</t>
  </si>
  <si>
    <t>A</t>
  </si>
  <si>
    <t>arandanos y harina de avena</t>
  </si>
  <si>
    <t>c</t>
  </si>
  <si>
    <t>choco crema de mani y harina de avena</t>
  </si>
  <si>
    <t>limon</t>
  </si>
  <si>
    <t>redvelvet</t>
  </si>
  <si>
    <t>brownies</t>
  </si>
  <si>
    <t>d</t>
  </si>
  <si>
    <t>galletas abuelita x2 (galletas de manteca con choco blanco y negro)</t>
  </si>
  <si>
    <t xml:space="preserve">Tortu Salame </t>
  </si>
  <si>
    <t>Tortu Queso</t>
  </si>
  <si>
    <t>Tortu JyQ</t>
  </si>
  <si>
    <t>MediaLu Q</t>
  </si>
  <si>
    <t>MediaLu JyQ</t>
  </si>
  <si>
    <t xml:space="preserve">Rolss </t>
  </si>
  <si>
    <t xml:space="preserve">Medialunas </t>
  </si>
  <si>
    <t xml:space="preserve">Cel: </t>
  </si>
  <si>
    <t>Joaquin  098416481</t>
  </si>
  <si>
    <t>Fecha de estos precios: 29/04/2024</t>
  </si>
  <si>
    <t>Tortugas salame</t>
  </si>
  <si>
    <t>Tortugas de Queso</t>
  </si>
  <si>
    <t>Tortugas de Jamon y Queso</t>
  </si>
  <si>
    <t xml:space="preserve">Media Lunas de Queso </t>
  </si>
  <si>
    <t>Media Lunas de Jamon y Queso</t>
  </si>
  <si>
    <t>Rolss</t>
  </si>
  <si>
    <t xml:space="preserve">Medialunas chicas </t>
  </si>
  <si>
    <t>Multiplicador iva 10%</t>
  </si>
  <si>
    <t>MEDIALUNAS MÚLTIPLO DE 6 Y TORTUGA MÚTIPLO DE 5</t>
  </si>
  <si>
    <t>si 11/04/2025</t>
  </si>
  <si>
    <t>si 11/04/2026</t>
  </si>
  <si>
    <t xml:space="preserve">Ncuenta </t>
  </si>
  <si>
    <t xml:space="preserve">santander </t>
  </si>
  <si>
    <t>joaquin  martinez</t>
  </si>
  <si>
    <t xml:space="preserve">12/05 tranferencia </t>
  </si>
  <si>
    <t xml:space="preserve">si 04/06 tranferencia </t>
  </si>
  <si>
    <t>por transferencia</t>
  </si>
  <si>
    <t>por transferencia, le debemos 1710!!!</t>
  </si>
  <si>
    <t>si 16/06 $9820</t>
  </si>
  <si>
    <t xml:space="preserve">tranferenica </t>
  </si>
  <si>
    <t>si 30/06</t>
  </si>
  <si>
    <t>si 2</t>
  </si>
  <si>
    <t xml:space="preserve">si </t>
  </si>
  <si>
    <t>si 22/07</t>
  </si>
  <si>
    <t>si 11/08</t>
  </si>
  <si>
    <t>si 20/08</t>
  </si>
  <si>
    <t xml:space="preserve">si tranferencia </t>
  </si>
  <si>
    <t>1/09 si</t>
  </si>
  <si>
    <t>si 03/09 $910</t>
  </si>
  <si>
    <t>Fecha pedido</t>
  </si>
  <si>
    <t>Tartas</t>
  </si>
  <si>
    <t>Croquetas</t>
  </si>
  <si>
    <t>Empanadas</t>
  </si>
  <si>
    <t>Mila pollo al pan</t>
  </si>
  <si>
    <t>Hamb, Vegeta</t>
  </si>
  <si>
    <t>Budin</t>
  </si>
  <si>
    <t>Sopa</t>
  </si>
  <si>
    <t>Carrot Cake</t>
  </si>
  <si>
    <t>facturado 10%</t>
  </si>
  <si>
    <t>facturado 22%</t>
  </si>
  <si>
    <t>Precio unidad</t>
  </si>
  <si>
    <t>5% descuento</t>
  </si>
  <si>
    <t>x1,3 con 5%</t>
  </si>
  <si>
    <t xml:space="preserve">Tartas </t>
  </si>
  <si>
    <t>Tartas Cortadas</t>
  </si>
  <si>
    <t xml:space="preserve">Empanadas </t>
  </si>
  <si>
    <t>Milanesa de pollo al pan</t>
  </si>
  <si>
    <t>Hamburguesas vegetarianas</t>
  </si>
  <si>
    <t>Tortilla de papa</t>
  </si>
  <si>
    <t>Brownie</t>
  </si>
  <si>
    <t>Carrot torta</t>
  </si>
  <si>
    <t>Crumble de manzana</t>
  </si>
  <si>
    <t>si x transferencia 2/6</t>
  </si>
  <si>
    <t>pagamos 20,000 en efectivo y 30,115 por transferencia 16/6</t>
  </si>
  <si>
    <t>transferencia 7/7</t>
  </si>
  <si>
    <t>Carlos 099103173</t>
  </si>
  <si>
    <t>IVA</t>
  </si>
  <si>
    <t>Fecha de estos precios: 15/3/24</t>
  </si>
  <si>
    <t>Precio Unitario con  IVA</t>
  </si>
  <si>
    <t xml:space="preserve">Costo por unidad </t>
  </si>
  <si>
    <t>Coca Cola 600ml x12</t>
  </si>
  <si>
    <t>Jugos 500 Ml</t>
  </si>
  <si>
    <t>Bidon 5l</t>
  </si>
  <si>
    <t>Jugos 500ml</t>
  </si>
  <si>
    <t>Bidones 5l</t>
  </si>
  <si>
    <t>Monto</t>
  </si>
  <si>
    <t>Diego 099292185</t>
  </si>
  <si>
    <t>Galletas</t>
  </si>
  <si>
    <t>Galletas Morenitas</t>
  </si>
  <si>
    <t>Manzana y Canela</t>
  </si>
  <si>
    <t>Galletas Granola</t>
  </si>
  <si>
    <t>Galletas naranja y miel</t>
  </si>
  <si>
    <t xml:space="preserve">Zanahoria </t>
  </si>
  <si>
    <t>Arandanos rojos</t>
  </si>
  <si>
    <t>Pagamos</t>
  </si>
  <si>
    <t>Tel</t>
  </si>
  <si>
    <t xml:space="preserve">098184022 (Mariana) </t>
  </si>
  <si>
    <t>094610876 (Cecilia)</t>
  </si>
  <si>
    <t>Costo con IVA</t>
  </si>
  <si>
    <t>Por 1,3</t>
  </si>
  <si>
    <t>Precio de venta</t>
  </si>
  <si>
    <t>COLET 250ml</t>
  </si>
  <si>
    <t>JUGOS 250ml</t>
  </si>
  <si>
    <t>Yogurt con Cereales</t>
  </si>
  <si>
    <t>Yoprole</t>
  </si>
  <si>
    <t>Leche</t>
  </si>
  <si>
    <t>Pagamos/fecha</t>
  </si>
  <si>
    <t>x1,3</t>
  </si>
  <si>
    <t>Precio de venta al público</t>
  </si>
  <si>
    <t>Colet 250ml</t>
  </si>
  <si>
    <t xml:space="preserve">Jugos caja 250ml </t>
  </si>
  <si>
    <t>Yogurt con Cereales, 150 grs</t>
  </si>
  <si>
    <t>Leche ultrapasteurizada</t>
  </si>
  <si>
    <t>Fecha de estos precios 05/02/2025</t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</si>
  <si>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CAMION PARA HACER PEDIDOS: ALVARO </t>
    </r>
    <r>
      <rPr>
        <rFont val="Arial"/>
        <color theme="1"/>
      </rPr>
      <t xml:space="preserve">+598 97 339 690
</t>
    </r>
    <r>
      <rPr>
        <rFont val="Arial"/>
        <b/>
        <color theme="1"/>
      </rPr>
      <t xml:space="preserve">CONTACTO PROVEEDOR: GABRIEL </t>
    </r>
    <r>
      <rPr>
        <rFont val="Arial"/>
        <color theme="1"/>
      </rPr>
      <t>+598 97 016 490</t>
    </r>
  </si>
  <si>
    <t>SALUS</t>
  </si>
  <si>
    <t>PEPSI</t>
  </si>
  <si>
    <t>Agua 600ml</t>
  </si>
  <si>
    <t>Agua 1l</t>
  </si>
  <si>
    <t>Bidones Agua</t>
  </si>
  <si>
    <t>Salus Frutte</t>
  </si>
  <si>
    <t xml:space="preserve">Pomelo/ tónica </t>
  </si>
  <si>
    <t>Pepsi / 7 UP</t>
  </si>
  <si>
    <t>Guaraná</t>
  </si>
  <si>
    <t>Gatorade</t>
  </si>
  <si>
    <t>Precio Zeta</t>
  </si>
  <si>
    <t>Fecha de estos precios: junio 2025</t>
  </si>
  <si>
    <t>Funda x6 Agua 600ml</t>
  </si>
  <si>
    <t>23133131 interno 0 Pedido x llamada solo</t>
  </si>
  <si>
    <t>Funda x6 Agua 1l</t>
  </si>
  <si>
    <t>Funda x6 Salus Frutte</t>
  </si>
  <si>
    <t>POMELO,TÓNICA 500 mL x12</t>
  </si>
  <si>
    <t>COLA, SEVEN UP 500 mL x12</t>
  </si>
  <si>
    <t>LATAS GUARANA</t>
  </si>
  <si>
    <t>Gatorade 500mL x6 unidades</t>
  </si>
  <si>
    <t>Alfajor Sierra de Minas Chocolate o Nieve</t>
  </si>
  <si>
    <t>17/0/2025</t>
  </si>
  <si>
    <t>Precio unitario</t>
  </si>
  <si>
    <t>Costo x1,3</t>
  </si>
  <si>
    <t>Darwin</t>
  </si>
  <si>
    <t>Tel,</t>
  </si>
  <si>
    <t>Fecha de estos precios: 9/2021</t>
  </si>
  <si>
    <t>Precio con IVA</t>
  </si>
  <si>
    <t>Precio x 1,3</t>
  </si>
  <si>
    <t>Propuesta precios Mayra</t>
  </si>
  <si>
    <t>Galletas Veganas</t>
  </si>
  <si>
    <t>Galletas veganas</t>
  </si>
  <si>
    <t>Monto facturado</t>
  </si>
  <si>
    <t>si 8/8</t>
  </si>
  <si>
    <t>si 14/08</t>
  </si>
  <si>
    <t>si 21/08</t>
  </si>
  <si>
    <t>si 28/08</t>
  </si>
  <si>
    <t>ai 4/09</t>
  </si>
  <si>
    <t>si 11/9</t>
  </si>
  <si>
    <t>si 25/9</t>
  </si>
  <si>
    <t>si 17/10</t>
  </si>
  <si>
    <t>si 23/10/23</t>
  </si>
  <si>
    <t>si 30/10</t>
  </si>
  <si>
    <t>Mayra</t>
  </si>
  <si>
    <t>096 163 991</t>
  </si>
  <si>
    <t>Descuento 3%</t>
  </si>
  <si>
    <t>Precio Disco</t>
  </si>
  <si>
    <t>Nativo Negro/Blanco 8un,</t>
  </si>
  <si>
    <t>Nutrisano Maicena Celiaco 16un</t>
  </si>
  <si>
    <t>Nutrisano Bañado Celiaco 16un</t>
  </si>
  <si>
    <t>Alfajores Play 12un</t>
  </si>
  <si>
    <t>Mani horneado c/soja 40g 10un</t>
  </si>
  <si>
    <t>Pipas horneadas c/soja                    20g 10un</t>
  </si>
  <si>
    <t>Nueces pecan acaramelada                      40g 10un</t>
  </si>
  <si>
    <t>Ades 200ml x24</t>
  </si>
  <si>
    <t>Big C 200ml x27</t>
  </si>
  <si>
    <t>Barritas ritter x24</t>
  </si>
  <si>
    <t>Mentitas Ambrosoli x30</t>
  </si>
  <si>
    <t>Mentitas frutal x12</t>
  </si>
  <si>
    <t>Tic tac x12</t>
  </si>
  <si>
    <t>Chicles Beldent x20</t>
  </si>
  <si>
    <t>Alfajor guacho blanco x12</t>
  </si>
  <si>
    <t>Alfajores Guacho merengue x12</t>
  </si>
  <si>
    <t>Halls s/a x12</t>
  </si>
  <si>
    <t xml:space="preserve">Trigal 4 sabores </t>
  </si>
  <si>
    <t>Chicles Beldent</t>
  </si>
  <si>
    <t>Guacho Blanco 12un</t>
  </si>
  <si>
    <t>Guacho Merengue 12un</t>
  </si>
  <si>
    <t>iva</t>
  </si>
  <si>
    <t>si 4/8</t>
  </si>
  <si>
    <t>Tic tac Naranja x12</t>
  </si>
  <si>
    <t>Tic tac Menta x12</t>
  </si>
  <si>
    <t>Tic tac mix de frutas x12</t>
  </si>
  <si>
    <t xml:space="preserve">Halls s/a </t>
  </si>
  <si>
    <t>Barras Ritter Brownie x24</t>
  </si>
  <si>
    <t>Barras Ritter Morango x24</t>
  </si>
  <si>
    <t>Barras Ritter Banana Avena y Miel x24</t>
  </si>
  <si>
    <t>Nativo Negro 8un.</t>
  </si>
  <si>
    <t>Nativo Blanco 8 un.</t>
  </si>
  <si>
    <t>Nativo s/a x8</t>
  </si>
  <si>
    <t>Alfajores Play</t>
  </si>
  <si>
    <t>Mentitas caja carton</t>
  </si>
  <si>
    <t>Mentitas frutales x12</t>
  </si>
  <si>
    <t>Beldent negro X20</t>
  </si>
  <si>
    <t>Beldent rosado x20</t>
  </si>
  <si>
    <t>ALFAJOR GUACHO</t>
  </si>
  <si>
    <t>Silvia 099 460 545</t>
  </si>
  <si>
    <t>Fecha de estos precios: 25/04/2025</t>
  </si>
  <si>
    <t xml:space="preserve">Precio Unitario </t>
  </si>
  <si>
    <t>Precio Unitario iva inc</t>
  </si>
  <si>
    <t>NUEVOS PRECIOS PROPUESTOS</t>
  </si>
  <si>
    <t>20% en café molido, y un 15% en café en grano</t>
  </si>
  <si>
    <t>Café Senior Tradicional 500g</t>
  </si>
  <si>
    <t>Cafe en Grano gourmet 500g</t>
  </si>
  <si>
    <t>Filtro</t>
  </si>
  <si>
    <t>pastillasX4</t>
  </si>
  <si>
    <t>descalsificador</t>
  </si>
  <si>
    <t>2019:</t>
  </si>
  <si>
    <t>125 k de café molido con un descuento de 33% ($ 443,5 + Iva 10% por kilo)</t>
  </si>
  <si>
    <t>14 kilos de café en grano con un descuento de 25% ( $ 900 + Iva 10% por kilo)</t>
  </si>
  <si>
    <t>Café Senior Tradi, 500g</t>
  </si>
  <si>
    <t>Café en Grano 500g,</t>
  </si>
  <si>
    <t>2020:</t>
  </si>
  <si>
    <t>si 9/02</t>
  </si>
  <si>
    <t>30 k de café molido con un descuento de 33%,</t>
  </si>
  <si>
    <t>sis</t>
  </si>
  <si>
    <t>2021:</t>
  </si>
  <si>
    <t>5 k de café molido con un descuento de 33%</t>
  </si>
  <si>
    <t>1 kilos de café en grano con un descuento de 25%</t>
  </si>
  <si>
    <t>2022:</t>
  </si>
  <si>
    <t>10k de café molido con un descuento de 33%</t>
  </si>
  <si>
    <t>5 kilos de café en grano con un descuento de 25%</t>
  </si>
  <si>
    <t>Con el pedido actual</t>
  </si>
  <si>
    <t>40 kg de cafe molido</t>
  </si>
  <si>
    <t>Avanzar hacia un 25%</t>
  </si>
  <si>
    <t>18kilos de cafe en grano</t>
  </si>
  <si>
    <t>Volver al 25% de descuento</t>
  </si>
  <si>
    <t>0k de café molido con un descuento de 25%</t>
  </si>
  <si>
    <t>14 kilos de café en grano con un descuento de 20%</t>
  </si>
  <si>
    <t>`095118637</t>
  </si>
  <si>
    <t>Precio por caja</t>
  </si>
  <si>
    <t>Pedidos los Jueves hasta 15:00hs</t>
  </si>
  <si>
    <t>Reparte los Viernes</t>
  </si>
  <si>
    <t xml:space="preserve">Porteñitas </t>
  </si>
  <si>
    <t xml:space="preserve">Acepta devoluciones de pructos vencidos, y de cualquier indole, </t>
  </si>
  <si>
    <t xml:space="preserve">Hogareñas Salvado </t>
  </si>
  <si>
    <t xml:space="preserve">Hogareñas Sesamo </t>
  </si>
  <si>
    <t xml:space="preserve">Hogareñas 7 semillas </t>
  </si>
  <si>
    <t>Saladix Pizza</t>
  </si>
  <si>
    <t>Vienen de a multiplos de 6</t>
  </si>
  <si>
    <t>Saladix Duo</t>
  </si>
  <si>
    <t xml:space="preserve">Saladix Parmesano </t>
  </si>
  <si>
    <t xml:space="preserve">Maná Limon </t>
  </si>
  <si>
    <t xml:space="preserve">Maná Frutilla </t>
  </si>
  <si>
    <t>Maná Chocolate</t>
  </si>
  <si>
    <t>si 3/03</t>
  </si>
  <si>
    <t>si 17/03</t>
  </si>
  <si>
    <t>Mauro dice que es 1259</t>
  </si>
  <si>
    <t>si 5/05</t>
  </si>
  <si>
    <t>Vinieron saladix jamon y parmesano</t>
  </si>
  <si>
    <t>si $1026 19/05</t>
  </si>
  <si>
    <t>si $2515 5/06</t>
  </si>
  <si>
    <t>si $2060 9/06</t>
  </si>
  <si>
    <t>si $2068 23/06</t>
  </si>
  <si>
    <t>si $1100 30/06</t>
  </si>
  <si>
    <t>Jessica 097433481</t>
  </si>
  <si>
    <t>Fecha de estos precios: 3/2022</t>
  </si>
  <si>
    <t>Precio Caja</t>
  </si>
  <si>
    <t>Sugerido</t>
  </si>
  <si>
    <t>x 24 unidades</t>
  </si>
  <si>
    <t>Canarias Trad, 100grs</t>
  </si>
  <si>
    <t xml:space="preserve"> x 20 unidades</t>
  </si>
  <si>
    <t>Canarias Trad, 250grs</t>
  </si>
  <si>
    <t>Canarias serena 100grs</t>
  </si>
  <si>
    <t>Canarias serena 250grs</t>
  </si>
  <si>
    <t>Té negro canarias 2grs</t>
  </si>
  <si>
    <t xml:space="preserve">Té sabores </t>
  </si>
  <si>
    <t>Té frutos rojos</t>
  </si>
  <si>
    <t>Te Frutos Rojos</t>
  </si>
  <si>
    <t>Yerba Canarias Trad, 100grs</t>
  </si>
  <si>
    <t>Yerba Canarias Serena, 100grs</t>
  </si>
  <si>
    <t>Comienza el 2022</t>
  </si>
  <si>
    <t>si 18/3</t>
  </si>
  <si>
    <t>si $1371 23/04</t>
  </si>
  <si>
    <t>Canarias serena 100g</t>
  </si>
  <si>
    <t>Canarias comun 100g</t>
  </si>
  <si>
    <t>Té negro</t>
  </si>
  <si>
    <t>Té cedron</t>
  </si>
  <si>
    <t>Té hierbas digestivas</t>
  </si>
  <si>
    <t>Curcuma</t>
  </si>
  <si>
    <t>Té limón</t>
  </si>
  <si>
    <t>Granolate</t>
  </si>
  <si>
    <t>Fecha de estos precios: 02/2022</t>
  </si>
  <si>
    <t>miercoles mandamos pedido</t>
  </si>
  <si>
    <t>Jueves traen 14hs</t>
  </si>
  <si>
    <t>Devolucion de cosas razonables</t>
  </si>
  <si>
    <t>GONZÁLO</t>
  </si>
  <si>
    <t>Por cuanto multiplicamos</t>
  </si>
  <si>
    <t>Costo x 1,4</t>
  </si>
  <si>
    <t xml:space="preserve">  </t>
  </si>
  <si>
    <t>Pedido los martes para entregar los jueves</t>
  </si>
  <si>
    <t>Vaquitas (cuadrado dulce de leche) 24un</t>
  </si>
  <si>
    <t>Galletas de limon bañadas con chocolate</t>
  </si>
  <si>
    <t>no hay</t>
  </si>
  <si>
    <t>Galletas de coco bañadas con chocolate</t>
  </si>
  <si>
    <t>Galletas de menta bañadas con chocolate</t>
  </si>
  <si>
    <t>Galletas de cacao bañadas con chocolate</t>
  </si>
  <si>
    <t>Natural Bars Almendras 16un</t>
  </si>
  <si>
    <t>Natural Bars Arandanos 16un</t>
  </si>
  <si>
    <t>Natural Bars Chocolate 16un</t>
  </si>
  <si>
    <t>Diego 094936873</t>
  </si>
  <si>
    <t>Hacer pedidos los Martes, entrega los miércoles!</t>
  </si>
  <si>
    <t>Fecha de estos precios: 15/2022</t>
  </si>
  <si>
    <t>Funda x12 500ml (POMELO, TÓNICA)</t>
  </si>
  <si>
    <t>Funda x12 500ml (COLA, SEVEN UP)</t>
  </si>
  <si>
    <t>COMIENZA EL 2023</t>
  </si>
  <si>
    <t>si 15/05 $7660</t>
  </si>
  <si>
    <t>si $3990 29/05</t>
  </si>
  <si>
    <t>Num</t>
  </si>
  <si>
    <t>´091215314</t>
  </si>
  <si>
    <t>Fecha de estos precios 03/05/2021</t>
  </si>
  <si>
    <t>Precio VENTA</t>
  </si>
  <si>
    <t>CHICLES BELDENT X 20</t>
  </si>
  <si>
    <t>MENTITAS X30</t>
  </si>
  <si>
    <t xml:space="preserve">ZABALA CARAMELO LECHE CZAR X126 </t>
  </si>
  <si>
    <t>MENTOS x12</t>
  </si>
  <si>
    <t>CARAMELOS DE CAFÉ X300</t>
  </si>
  <si>
    <t>BELDENT X20</t>
  </si>
  <si>
    <t>ZABALA DDL X126</t>
  </si>
  <si>
    <t>MENTOS X12</t>
  </si>
  <si>
    <t>CARAMELOS CAFÉ X300</t>
  </si>
  <si>
    <r>
      <rPr>
        <rFont val="Arial"/>
        <color theme="1"/>
      </rPr>
      <t xml:space="preserve">CONTACTO: ?? </t>
    </r>
    <r>
      <rPr>
        <rFont val="Arial"/>
        <b/>
        <color theme="1"/>
      </rPr>
      <t>094092987</t>
    </r>
  </si>
  <si>
    <t>Fecha de estos precios 17/6/2022</t>
  </si>
  <si>
    <t xml:space="preserve">Te hago pedido: </t>
  </si>
  <si>
    <t>DONAS VEGANAS</t>
  </si>
  <si>
    <t>Oreo con base choco</t>
  </si>
  <si>
    <t>Bon o bon con base choco</t>
  </si>
  <si>
    <t>Azúcar y canela</t>
  </si>
  <si>
    <t>Grajeas de choco</t>
  </si>
  <si>
    <t>DONAS</t>
  </si>
  <si>
    <t>Oreo</t>
  </si>
  <si>
    <t>Bon o bon</t>
  </si>
  <si>
    <t>Grajea de chocolate</t>
  </si>
  <si>
    <t>Azucar y canela</t>
  </si>
  <si>
    <t>Vainilla</t>
  </si>
  <si>
    <t>Colores con granas</t>
  </si>
  <si>
    <t>si 20/6</t>
  </si>
  <si>
    <t>si 27/06</t>
  </si>
  <si>
    <t>si 11/7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</si>
</sst>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d/MM/yyyy"/>
    <numFmt numFmtId="166" formatCode="[$$]#,##0"/>
    <numFmt numFmtId="167" formatCode="d/m"/>
    <numFmt numFmtId="168" formatCode="dd/mm/yyyy"/>
    <numFmt numFmtId="169" formatCode="dd/mm"/>
    <numFmt numFmtId="170" formatCode="d/m/yy"/>
    <numFmt numFmtId="171" formatCode="d-m-yy"/>
    <numFmt numFmtId="172" formatCode="0.0"/>
    <numFmt numFmtId="173" formatCode="0.000"/>
  </numFmts>
  <fonts count="21">
    <font>
      <sz val="10.0"/>
      <color rgb="FF000000"/>
      <name val="Arial"/>
      <scheme val="minor"/>
    </font>
    <font>
      <b/>
      <color rgb="FFF3F3F3"/>
      <name val="Arial"/>
    </font>
    <font/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b/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rgb="FF222222"/>
      <name val="Arial"/>
    </font>
    <font>
      <b/>
      <sz val="11.0"/>
      <color theme="1"/>
      <name val="Inconsolata"/>
    </font>
    <font>
      <b/>
      <color rgb="FFFFFFFF"/>
      <name val="Arial"/>
    </font>
    <font>
      <color rgb="FF000000"/>
      <name val="Arial"/>
    </font>
    <font>
      <sz val="11.0"/>
      <color theme="1"/>
      <name val="Arial"/>
    </font>
    <font>
      <u/>
      <sz val="11.0"/>
      <color rgb="FF222222"/>
      <name val="Calibri"/>
    </font>
    <font>
      <u/>
      <color rgb="FF222222"/>
      <name val="Arial"/>
    </font>
    <font>
      <u/>
      <color rgb="FF222222"/>
      <name val="Arial"/>
    </font>
    <font>
      <b/>
      <i/>
      <color theme="1"/>
      <name val="Arial"/>
    </font>
    <font>
      <sz val="12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FF8F0"/>
        <bgColor rgb="FFFFF8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1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medium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hair">
        <color rgb="FF000000"/>
      </right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 shrinkToFit="0" vertical="center" wrapText="1"/>
    </xf>
    <xf quotePrefix="1" borderId="4" fillId="4" fontId="4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4" fillId="5" fontId="4" numFmtId="0" xfId="0" applyAlignment="1" applyBorder="1" applyFill="1" applyFont="1">
      <alignment horizontal="center" shrinkToFit="0" vertical="center" wrapText="1"/>
    </xf>
    <xf quotePrefix="1" borderId="4" fillId="5" fontId="4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4" fillId="6" fontId="4" numFmtId="49" xfId="0" applyAlignment="1" applyBorder="1" applyFont="1" applyNumberForma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6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/>
    </xf>
    <xf borderId="4" fillId="6" fontId="6" numFmtId="0" xfId="0" applyAlignment="1" applyBorder="1" applyFont="1">
      <alignment horizontal="center"/>
    </xf>
    <xf borderId="4" fillId="6" fontId="3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4" fillId="5" fontId="6" numFmtId="0" xfId="0" applyAlignment="1" applyBorder="1" applyFont="1">
      <alignment horizontal="center"/>
    </xf>
    <xf borderId="4" fillId="5" fontId="7" numFmtId="0" xfId="0" applyAlignment="1" applyBorder="1" applyFont="1">
      <alignment horizontal="center"/>
    </xf>
    <xf borderId="4" fillId="5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6" fontId="8" numFmtId="0" xfId="0" applyAlignment="1" applyBorder="1" applyFont="1">
      <alignment horizontal="center"/>
    </xf>
    <xf borderId="4" fillId="5" fontId="4" numFmtId="0" xfId="0" applyAlignment="1" applyBorder="1" applyFont="1">
      <alignment horizontal="center" shrinkToFit="0" vertical="bottom" wrapText="1"/>
    </xf>
    <xf borderId="4" fillId="5" fontId="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7" fillId="7" fontId="7" numFmtId="0" xfId="0" applyAlignment="1" applyBorder="1" applyFill="1" applyFont="1">
      <alignment horizontal="center"/>
    </xf>
    <xf borderId="7" fillId="8" fontId="7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7" fillId="0" fontId="5" numFmtId="164" xfId="0" applyBorder="1" applyFont="1" applyNumberFormat="1"/>
    <xf borderId="10" fillId="7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7" fontId="7" numFmtId="0" xfId="0" applyAlignment="1" applyBorder="1" applyFont="1">
      <alignment horizontal="center" shrinkToFit="0" vertical="center" wrapText="1"/>
    </xf>
    <xf borderId="10" fillId="8" fontId="7" numFmtId="0" xfId="0" applyAlignment="1" applyBorder="1" applyFont="1">
      <alignment horizontal="center" shrinkToFit="0" vertical="center" wrapText="1"/>
    </xf>
    <xf borderId="12" fillId="8" fontId="7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7" numFmtId="0" xfId="0" applyBorder="1" applyFont="1"/>
    <xf borderId="17" fillId="0" fontId="2" numFmtId="0" xfId="0" applyBorder="1" applyFont="1"/>
    <xf borderId="6" fillId="0" fontId="5" numFmtId="0" xfId="0" applyBorder="1" applyFont="1"/>
    <xf borderId="18" fillId="0" fontId="7" numFmtId="0" xfId="0" applyBorder="1" applyFont="1"/>
    <xf borderId="19" fillId="0" fontId="7" numFmtId="0" xfId="0" applyBorder="1" applyFont="1"/>
    <xf borderId="4" fillId="0" fontId="5" numFmtId="0" xfId="0" applyBorder="1" applyFont="1"/>
    <xf borderId="20" fillId="0" fontId="7" numFmtId="0" xfId="0" applyBorder="1" applyFont="1"/>
    <xf borderId="21" fillId="0" fontId="7" numFmtId="0" xfId="0" applyBorder="1" applyFont="1"/>
    <xf borderId="22" fillId="0" fontId="2" numFmtId="0" xfId="0" applyBorder="1" applyFont="1"/>
    <xf borderId="23" fillId="0" fontId="5" numFmtId="0" xfId="0" applyBorder="1" applyFont="1"/>
    <xf borderId="24" fillId="0" fontId="7" numFmtId="0" xfId="0" applyBorder="1" applyFont="1"/>
    <xf borderId="7" fillId="9" fontId="7" numFmtId="0" xfId="0" applyAlignment="1" applyBorder="1" applyFill="1" applyFont="1">
      <alignment horizontal="center"/>
    </xf>
    <xf borderId="7" fillId="10" fontId="7" numFmtId="0" xfId="0" applyAlignment="1" applyBorder="1" applyFill="1" applyFont="1">
      <alignment horizontal="center"/>
    </xf>
    <xf borderId="10" fillId="9" fontId="7" numFmtId="0" xfId="0" applyAlignment="1" applyBorder="1" applyFont="1">
      <alignment horizontal="center" shrinkToFit="0" vertical="center" wrapText="1"/>
    </xf>
    <xf borderId="12" fillId="9" fontId="7" numFmtId="0" xfId="0" applyAlignment="1" applyBorder="1" applyFont="1">
      <alignment horizontal="center" shrinkToFit="0" vertical="center" wrapText="1"/>
    </xf>
    <xf borderId="10" fillId="10" fontId="7" numFmtId="0" xfId="0" applyAlignment="1" applyBorder="1" applyFont="1">
      <alignment horizontal="center" shrinkToFit="0" vertical="center" wrapText="1"/>
    </xf>
    <xf borderId="12" fillId="10" fontId="7" numFmtId="0" xfId="0" applyAlignment="1" applyBorder="1" applyFont="1">
      <alignment horizontal="center" shrinkToFit="0" vertical="center" wrapText="1"/>
    </xf>
    <xf borderId="25" fillId="9" fontId="5" numFmtId="165" xfId="0" applyAlignment="1" applyBorder="1" applyFont="1" applyNumberFormat="1">
      <alignment horizontal="center" shrinkToFit="0" vertical="center" wrapText="1"/>
    </xf>
    <xf borderId="26" fillId="9" fontId="5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6" fillId="9" fontId="5" numFmtId="0" xfId="0" applyAlignment="1" applyBorder="1" applyFont="1">
      <alignment horizontal="center"/>
    </xf>
    <xf borderId="28" fillId="0" fontId="2" numFmtId="0" xfId="0" applyBorder="1" applyFont="1"/>
    <xf borderId="27" fillId="11" fontId="7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9" fillId="0" fontId="2" numFmtId="0" xfId="0" applyBorder="1" applyFont="1"/>
    <xf borderId="12" fillId="9" fontId="5" numFmtId="0" xfId="0" applyAlignment="1" applyBorder="1" applyFont="1">
      <alignment horizontal="center" shrinkToFit="0" vertical="center" wrapText="1"/>
    </xf>
    <xf borderId="30" fillId="9" fontId="5" numFmtId="0" xfId="0" applyAlignment="1" applyBorder="1" applyFont="1">
      <alignment horizontal="center" shrinkToFit="0" vertical="center" wrapText="1"/>
    </xf>
    <xf borderId="31" fillId="9" fontId="5" numFmtId="0" xfId="0" applyAlignment="1" applyBorder="1" applyFont="1">
      <alignment horizontal="center" shrinkToFit="0" vertical="center" wrapText="1"/>
    </xf>
    <xf borderId="28" fillId="11" fontId="7" numFmtId="0" xfId="0" applyAlignment="1" applyBorder="1" applyFont="1">
      <alignment horizontal="center" shrinkToFit="0" vertical="center" wrapText="1"/>
    </xf>
    <xf borderId="7" fillId="11" fontId="7" numFmtId="0" xfId="0" applyAlignment="1" applyBorder="1" applyFont="1">
      <alignment horizontal="center" shrinkToFit="0" vertical="center" wrapText="1"/>
    </xf>
    <xf borderId="7" fillId="11" fontId="7" numFmtId="166" xfId="0" applyAlignment="1" applyBorder="1" applyFont="1" applyNumberForma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32" fillId="0" fontId="2" numFmtId="0" xfId="0" applyBorder="1" applyFont="1"/>
    <xf borderId="28" fillId="11" fontId="5" numFmtId="0" xfId="0" applyAlignment="1" applyBorder="1" applyFont="1">
      <alignment horizontal="center" shrinkToFit="0" vertical="center" wrapText="1"/>
    </xf>
    <xf borderId="7" fillId="11" fontId="5" numFmtId="0" xfId="0" applyAlignment="1" applyBorder="1" applyFont="1">
      <alignment horizontal="center" shrinkToFit="0" vertical="center" wrapText="1"/>
    </xf>
    <xf borderId="7" fillId="11" fontId="5" numFmtId="166" xfId="0" applyAlignment="1" applyBorder="1" applyFont="1" applyNumberForma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33" fillId="0" fontId="5" numFmtId="165" xfId="0" applyAlignment="1" applyBorder="1" applyFont="1" applyNumberForma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35" fillId="0" fontId="5" numFmtId="0" xfId="0" applyAlignment="1" applyBorder="1" applyFont="1">
      <alignment horizontal="center" shrinkToFit="0" vertical="center" wrapText="1"/>
    </xf>
    <xf borderId="36" fillId="9" fontId="5" numFmtId="0" xfId="0" applyAlignment="1" applyBorder="1" applyFont="1">
      <alignment horizontal="center" shrinkToFit="0" vertical="center" wrapText="1"/>
    </xf>
    <xf borderId="37" fillId="9" fontId="5" numFmtId="0" xfId="0" applyAlignment="1" applyBorder="1" applyFont="1">
      <alignment horizontal="center" shrinkToFit="0" vertical="center" wrapText="1"/>
    </xf>
    <xf borderId="38" fillId="0" fontId="5" numFmtId="0" xfId="0" applyAlignment="1" applyBorder="1" applyFon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40" fillId="0" fontId="5" numFmtId="0" xfId="0" applyAlignment="1" applyBorder="1" applyFont="1">
      <alignment horizontal="center" shrinkToFit="0" vertical="center" wrapText="1"/>
    </xf>
    <xf borderId="41" fillId="0" fontId="5" numFmtId="166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3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46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/>
    </xf>
    <xf borderId="48" fillId="0" fontId="5" numFmtId="0" xfId="0" applyAlignment="1" applyBorder="1" applyFont="1">
      <alignment horizontal="center"/>
    </xf>
    <xf borderId="49" fillId="0" fontId="5" numFmtId="0" xfId="0" applyAlignment="1" applyBorder="1" applyFont="1">
      <alignment horizontal="center"/>
    </xf>
    <xf borderId="50" fillId="0" fontId="5" numFmtId="0" xfId="0" applyAlignment="1" applyBorder="1" applyFont="1">
      <alignment horizontal="center"/>
    </xf>
    <xf borderId="51" fillId="0" fontId="5" numFmtId="0" xfId="0" applyAlignment="1" applyBorder="1" applyFont="1">
      <alignment horizontal="center"/>
    </xf>
    <xf borderId="52" fillId="0" fontId="5" numFmtId="0" xfId="0" applyAlignment="1" applyBorder="1" applyFont="1">
      <alignment horizontal="center"/>
    </xf>
    <xf borderId="53" fillId="0" fontId="5" numFmtId="165" xfId="0" applyAlignment="1" applyBorder="1" applyFont="1" applyNumberFormat="1">
      <alignment horizontal="center" shrinkToFit="0" vertical="center" wrapText="1"/>
    </xf>
    <xf borderId="54" fillId="6" fontId="5" numFmtId="0" xfId="0" applyAlignment="1" applyBorder="1" applyFont="1">
      <alignment horizontal="center"/>
    </xf>
    <xf borderId="55" fillId="0" fontId="5" numFmtId="0" xfId="0" applyAlignment="1" applyBorder="1" applyFont="1">
      <alignment horizontal="center" shrinkToFit="0" vertical="center" wrapText="1"/>
    </xf>
    <xf borderId="37" fillId="9" fontId="5" numFmtId="167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6" fillId="0" fontId="5" numFmtId="0" xfId="0" applyAlignment="1" applyBorder="1" applyFont="1">
      <alignment horizontal="center" shrinkToFit="0" vertical="center" wrapText="1"/>
    </xf>
    <xf borderId="46" fillId="0" fontId="5" numFmtId="0" xfId="0" applyBorder="1" applyFont="1"/>
    <xf borderId="37" fillId="9" fontId="5" numFmtId="168" xfId="0" applyAlignment="1" applyBorder="1" applyFont="1" applyNumberFormat="1">
      <alignment horizontal="center" shrinkToFit="0" vertical="center" wrapText="1"/>
    </xf>
    <xf borderId="37" fillId="9" fontId="5" numFmtId="169" xfId="0" applyAlignment="1" applyBorder="1" applyFont="1" applyNumberFormat="1">
      <alignment horizontal="center" shrinkToFit="0" vertical="center" wrapText="1"/>
    </xf>
    <xf borderId="56" fillId="0" fontId="5" numFmtId="0" xfId="0" applyAlignment="1" applyBorder="1" applyFont="1">
      <alignment horizontal="center"/>
    </xf>
    <xf borderId="45" fillId="0" fontId="5" numFmtId="0" xfId="0" applyBorder="1" applyFont="1"/>
    <xf borderId="0" fillId="0" fontId="5" numFmtId="165" xfId="0" applyAlignment="1" applyFont="1" applyNumberFormat="1">
      <alignment horizontal="center" shrinkToFit="0" vertical="center" wrapText="1"/>
    </xf>
    <xf borderId="57" fillId="9" fontId="5" numFmtId="0" xfId="0" applyAlignment="1" applyBorder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26" fillId="9" fontId="7" numFmtId="165" xfId="0" applyAlignment="1" applyBorder="1" applyFont="1" applyNumberFormat="1">
      <alignment horizontal="center" shrinkToFit="0" vertical="center" wrapText="1"/>
    </xf>
    <xf borderId="24" fillId="12" fontId="7" numFmtId="0" xfId="0" applyAlignment="1" applyBorder="1" applyFill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58" fillId="12" fontId="7" numFmtId="0" xfId="0" applyAlignment="1" applyBorder="1" applyFont="1">
      <alignment horizontal="center" shrinkToFit="0" vertical="center" wrapText="1"/>
    </xf>
    <xf borderId="28" fillId="9" fontId="7" numFmtId="0" xfId="0" applyAlignment="1" applyBorder="1" applyFont="1">
      <alignment horizontal="center" shrinkToFit="0" vertical="center" wrapText="1"/>
    </xf>
    <xf borderId="7" fillId="9" fontId="7" numFmtId="0" xfId="0" applyAlignment="1" applyBorder="1" applyFont="1">
      <alignment horizontal="center" shrinkToFit="0" vertical="center" wrapText="1"/>
    </xf>
    <xf borderId="26" fillId="9" fontId="7" numFmtId="0" xfId="0" applyAlignment="1" applyBorder="1" applyFont="1">
      <alignment horizontal="center" shrinkToFit="0" vertical="center" wrapText="1"/>
    </xf>
    <xf borderId="46" fillId="0" fontId="5" numFmtId="165" xfId="0" applyAlignment="1" applyBorder="1" applyFont="1" applyNumberFormat="1">
      <alignment horizontal="center" shrinkToFit="0" vertical="center" wrapText="1"/>
    </xf>
    <xf borderId="59" fillId="12" fontId="5" numFmtId="0" xfId="0" applyAlignment="1" applyBorder="1" applyFont="1">
      <alignment horizontal="center" shrinkToFit="0" vertical="center" wrapText="1"/>
    </xf>
    <xf borderId="40" fillId="12" fontId="5" numFmtId="0" xfId="0" applyAlignment="1" applyBorder="1" applyFont="1">
      <alignment horizontal="center" shrinkToFit="0" vertical="center" wrapText="1"/>
    </xf>
    <xf borderId="60" fillId="12" fontId="5" numFmtId="0" xfId="0" applyAlignment="1" applyBorder="1" applyFont="1">
      <alignment horizontal="center" shrinkToFit="0" vertical="center" wrapText="1"/>
    </xf>
    <xf borderId="56" fillId="13" fontId="5" numFmtId="0" xfId="0" applyAlignment="1" applyBorder="1" applyFill="1" applyFont="1">
      <alignment horizontal="center" shrinkToFit="0" vertical="center" wrapText="1"/>
    </xf>
    <xf borderId="61" fillId="0" fontId="5" numFmtId="0" xfId="0" applyAlignment="1" applyBorder="1" applyFont="1">
      <alignment horizontal="center" shrinkToFit="0" vertical="center" wrapText="1"/>
    </xf>
    <xf borderId="62" fillId="0" fontId="5" numFmtId="0" xfId="0" applyBorder="1" applyFont="1"/>
    <xf borderId="41" fillId="0" fontId="5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center" shrinkToFit="0" vertical="center" wrapText="1"/>
    </xf>
    <xf borderId="5" fillId="14" fontId="5" numFmtId="0" xfId="0" applyAlignment="1" applyBorder="1" applyFill="1" applyFont="1">
      <alignment horizontal="center" shrinkToFit="0" vertical="center" wrapText="1"/>
    </xf>
    <xf borderId="5" fillId="14" fontId="5" numFmtId="0" xfId="0" applyAlignment="1" applyBorder="1" applyFont="1">
      <alignment horizontal="center" vertical="center"/>
    </xf>
    <xf borderId="46" fillId="0" fontId="5" numFmtId="167" xfId="0" applyAlignment="1" applyBorder="1" applyFont="1" applyNumberFormat="1">
      <alignment horizontal="center" shrinkToFit="0" vertical="center" wrapText="1"/>
    </xf>
    <xf borderId="63" fillId="12" fontId="5" numFmtId="0" xfId="0" applyAlignment="1" applyBorder="1" applyFont="1">
      <alignment horizontal="center" shrinkToFit="0" vertical="center" wrapText="1"/>
    </xf>
    <xf borderId="45" fillId="12" fontId="5" numFmtId="0" xfId="0" applyAlignment="1" applyBorder="1" applyFont="1">
      <alignment horizontal="center" shrinkToFit="0" vertical="center" wrapText="1"/>
    </xf>
    <xf borderId="64" fillId="12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right"/>
    </xf>
    <xf borderId="63" fillId="12" fontId="5" numFmtId="0" xfId="0" applyBorder="1" applyFont="1"/>
    <xf borderId="45" fillId="12" fontId="5" numFmtId="0" xfId="0" applyBorder="1" applyFont="1"/>
    <xf borderId="64" fillId="12" fontId="5" numFmtId="0" xfId="0" applyBorder="1" applyFont="1"/>
    <xf borderId="46" fillId="0" fontId="5" numFmtId="164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horizontal="center"/>
    </xf>
    <xf borderId="0" fillId="0" fontId="7" numFmtId="0" xfId="0" applyFont="1"/>
    <xf borderId="65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66" fillId="12" fontId="5" numFmtId="0" xfId="0" applyAlignment="1" applyBorder="1" applyFont="1">
      <alignment horizontal="center" shrinkToFit="0" vertical="center" wrapText="1"/>
    </xf>
    <xf borderId="26" fillId="11" fontId="7" numFmtId="0" xfId="0" applyAlignment="1" applyBorder="1" applyFont="1">
      <alignment horizontal="center" shrinkToFit="0" vertical="center" wrapText="1"/>
    </xf>
    <xf borderId="7" fillId="9" fontId="5" numFmtId="0" xfId="0" applyAlignment="1" applyBorder="1" applyFont="1">
      <alignment horizontal="center" shrinkToFit="0" vertical="center" wrapText="1"/>
    </xf>
    <xf borderId="56" fillId="0" fontId="5" numFmtId="165" xfId="0" applyAlignment="1" applyBorder="1" applyFont="1" applyNumberFormat="1">
      <alignment horizontal="center" shrinkToFit="0" vertical="center" wrapText="1"/>
    </xf>
    <xf borderId="45" fillId="6" fontId="12" numFmtId="0" xfId="0" applyAlignment="1" applyBorder="1" applyFont="1">
      <alignment horizontal="center"/>
    </xf>
    <xf borderId="37" fillId="0" fontId="5" numFmtId="167" xfId="0" applyAlignment="1" applyBorder="1" applyFont="1" applyNumberFormat="1">
      <alignment horizontal="center" shrinkToFit="0" vertical="center" wrapText="1"/>
    </xf>
    <xf borderId="67" fillId="0" fontId="5" numFmtId="0" xfId="0" applyAlignment="1" applyBorder="1" applyFont="1">
      <alignment horizontal="center" shrinkToFit="0" vertical="center" wrapText="1"/>
    </xf>
    <xf borderId="68" fillId="0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wrapText="1"/>
    </xf>
    <xf borderId="5" fillId="11" fontId="5" numFmtId="0" xfId="0" applyAlignment="1" applyBorder="1" applyFont="1">
      <alignment horizontal="center" shrinkToFit="0" wrapText="1"/>
    </xf>
    <xf borderId="45" fillId="15" fontId="12" numFmtId="0" xfId="0" applyAlignment="1" applyBorder="1" applyFill="1" applyFont="1">
      <alignment horizontal="center"/>
    </xf>
    <xf borderId="37" fillId="0" fontId="5" numFmtId="168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right" shrinkToFit="0" wrapText="1"/>
    </xf>
    <xf borderId="37" fillId="0" fontId="5" numFmtId="169" xfId="0" applyAlignment="1" applyBorder="1" applyFont="1" applyNumberFormat="1">
      <alignment horizontal="center" shrinkToFit="0" vertical="center" wrapText="1"/>
    </xf>
    <xf borderId="37" fillId="0" fontId="5" numFmtId="0" xfId="0" applyAlignment="1" applyBorder="1" applyFon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39" fillId="0" fontId="5" numFmtId="165" xfId="0" applyAlignment="1" applyBorder="1" applyFont="1" applyNumberFormat="1">
      <alignment horizontal="center" shrinkToFit="0" vertical="center" wrapText="1"/>
    </xf>
    <xf borderId="69" fillId="0" fontId="5" numFmtId="0" xfId="0" applyAlignment="1" applyBorder="1" applyFont="1">
      <alignment horizontal="center" shrinkToFit="0" vertical="center" wrapText="1"/>
    </xf>
    <xf borderId="0" fillId="14" fontId="5" numFmtId="0" xfId="0" applyAlignment="1" applyFont="1">
      <alignment horizontal="center" shrinkToFit="0" vertical="center" wrapText="1"/>
    </xf>
    <xf borderId="7" fillId="16" fontId="5" numFmtId="0" xfId="0" applyAlignment="1" applyBorder="1" applyFill="1" applyFont="1">
      <alignment horizontal="center" shrinkToFit="0" vertical="center" wrapText="1"/>
    </xf>
    <xf borderId="10" fillId="8" fontId="5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65" fillId="8" fontId="5" numFmtId="0" xfId="0" applyAlignment="1" applyBorder="1" applyFont="1">
      <alignment horizontal="center" shrinkToFit="0" vertical="center" wrapText="1"/>
    </xf>
    <xf borderId="5" fillId="11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71" fillId="0" fontId="2" numFmtId="0" xfId="0" applyBorder="1" applyFont="1"/>
    <xf borderId="16" fillId="6" fontId="11" numFmtId="0" xfId="0" applyAlignment="1" applyBorder="1" applyFont="1">
      <alignment horizontal="center" shrinkToFit="0" vertical="center" wrapText="1"/>
    </xf>
    <xf borderId="71" fillId="0" fontId="5" numFmtId="0" xfId="0" applyAlignment="1" applyBorder="1" applyFont="1">
      <alignment horizontal="center" shrinkToFit="0" vertical="center" wrapText="1"/>
    </xf>
    <xf borderId="19" fillId="6" fontId="1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72" fillId="0" fontId="7" numFmtId="0" xfId="0" applyAlignment="1" applyBorder="1" applyFont="1">
      <alignment horizontal="center" shrinkToFit="0" vertical="center" wrapText="1"/>
    </xf>
    <xf borderId="0" fillId="17" fontId="13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62" fillId="0" fontId="5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74" fillId="8" fontId="5" numFmtId="0" xfId="0" applyAlignment="1" applyBorder="1" applyFont="1">
      <alignment horizontal="center" shrinkToFit="0" vertical="center" wrapText="1"/>
    </xf>
    <xf borderId="74" fillId="11" fontId="5" numFmtId="0" xfId="0" applyAlignment="1" applyBorder="1" applyFont="1">
      <alignment horizontal="center" shrinkToFit="0" vertical="center" wrapText="1"/>
    </xf>
    <xf borderId="75" fillId="11" fontId="5" numFmtId="0" xfId="0" applyAlignment="1" applyBorder="1" applyFont="1">
      <alignment horizontal="center" shrinkToFit="0" vertical="center" wrapText="1"/>
    </xf>
    <xf borderId="75" fillId="18" fontId="5" numFmtId="0" xfId="0" applyAlignment="1" applyBorder="1" applyFill="1" applyFont="1">
      <alignment horizontal="center" shrinkToFit="0" vertical="center" wrapText="1"/>
    </xf>
    <xf borderId="76" fillId="11" fontId="5" numFmtId="0" xfId="0" applyAlignment="1" applyBorder="1" applyFont="1">
      <alignment horizontal="center" shrinkToFit="0" vertical="center" wrapText="1"/>
    </xf>
    <xf borderId="39" fillId="0" fontId="5" numFmtId="169" xfId="0" applyAlignment="1" applyBorder="1" applyFont="1" applyNumberFormat="1">
      <alignment horizontal="center" shrinkToFit="0" vertical="center" wrapText="1"/>
    </xf>
    <xf borderId="77" fillId="0" fontId="2" numFmtId="0" xfId="0" applyBorder="1" applyFont="1"/>
    <xf borderId="18" fillId="0" fontId="2" numFmtId="0" xfId="0" applyBorder="1" applyFont="1"/>
    <xf borderId="1" fillId="18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39" fillId="0" fontId="5" numFmtId="170" xfId="0" applyAlignment="1" applyBorder="1" applyFont="1" applyNumberFormat="1">
      <alignment horizontal="center" shrinkToFit="0" vertical="center" wrapText="1"/>
    </xf>
    <xf borderId="19" fillId="9" fontId="11" numFmtId="0" xfId="0" applyAlignment="1" applyBorder="1" applyFont="1">
      <alignment horizontal="center" shrinkToFit="0" vertical="center" wrapText="1"/>
    </xf>
    <xf borderId="20" fillId="9" fontId="5" numFmtId="0" xfId="0" applyAlignment="1" applyBorder="1" applyFont="1">
      <alignment horizontal="center" shrinkToFit="0" vertical="center" wrapText="1"/>
    </xf>
    <xf borderId="69" fillId="0" fontId="5" numFmtId="169" xfId="0" applyAlignment="1" applyBorder="1" applyFont="1" applyNumberFormat="1">
      <alignment horizontal="center" shrinkToFit="0" vertical="center" wrapText="1"/>
    </xf>
    <xf borderId="36" fillId="0" fontId="5" numFmtId="0" xfId="0" applyAlignment="1" applyBorder="1" applyFont="1">
      <alignment horizontal="center" shrinkToFit="0" vertical="center" wrapText="1"/>
    </xf>
    <xf borderId="69" fillId="0" fontId="5" numFmtId="167" xfId="0" applyAlignment="1" applyBorder="1" applyFont="1" applyNumberFormat="1">
      <alignment horizontal="center" shrinkToFit="0" vertical="center" wrapText="1"/>
    </xf>
    <xf borderId="78" fillId="6" fontId="11" numFmtId="0" xfId="0" applyAlignment="1" applyBorder="1" applyFont="1">
      <alignment horizontal="center" shrinkToFit="0" vertical="center" wrapText="1"/>
    </xf>
    <xf borderId="79" fillId="0" fontId="2" numFmtId="0" xfId="0" applyBorder="1" applyFont="1"/>
    <xf borderId="80" fillId="0" fontId="2" numFmtId="0" xfId="0" applyBorder="1" applyFont="1"/>
    <xf borderId="81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81" fillId="18" fontId="5" numFmtId="0" xfId="0" applyAlignment="1" applyBorder="1" applyFont="1">
      <alignment horizontal="center" shrinkToFit="0" vertical="center" wrapText="1"/>
    </xf>
    <xf borderId="82" fillId="0" fontId="5" numFmtId="0" xfId="0" applyAlignment="1" applyBorder="1" applyFont="1">
      <alignment horizontal="center" shrinkToFit="0" vertical="center" wrapText="1"/>
    </xf>
    <xf borderId="21" fillId="9" fontId="5" numFmtId="0" xfId="0" applyAlignment="1" applyBorder="1" applyFont="1">
      <alignment horizontal="center"/>
    </xf>
    <xf borderId="83" fillId="0" fontId="2" numFmtId="0" xfId="0" applyBorder="1" applyFont="1"/>
    <xf borderId="23" fillId="6" fontId="5" numFmtId="0" xfId="0" applyAlignment="1" applyBorder="1" applyFont="1">
      <alignment horizontal="center" shrinkToFit="0" vertical="center" wrapText="1"/>
    </xf>
    <xf borderId="24" fillId="9" fontId="5" numFmtId="0" xfId="0" applyAlignment="1" applyBorder="1" applyFont="1">
      <alignment horizontal="center" shrinkToFit="0" vertical="center" wrapText="1"/>
    </xf>
    <xf borderId="72" fillId="6" fontId="5" numFmtId="0" xfId="0" applyAlignment="1" applyBorder="1" applyFont="1">
      <alignment horizontal="center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/>
    </xf>
    <xf borderId="69" fillId="0" fontId="5" numFmtId="3" xfId="0" applyAlignment="1" applyBorder="1" applyFont="1" applyNumberFormat="1">
      <alignment horizontal="center" shrinkToFit="0" vertical="center" wrapText="1"/>
    </xf>
    <xf borderId="84" fillId="0" fontId="2" numFmtId="0" xfId="0" applyBorder="1" applyFont="1"/>
    <xf borderId="45" fillId="0" fontId="5" numFmtId="165" xfId="0" applyAlignment="1" applyBorder="1" applyFont="1" applyNumberFormat="1">
      <alignment horizontal="center" shrinkToFit="0" vertical="center" wrapText="1"/>
    </xf>
    <xf borderId="45" fillId="0" fontId="5" numFmtId="168" xfId="0" applyAlignment="1" applyBorder="1" applyFont="1" applyNumberFormat="1">
      <alignment horizontal="center"/>
    </xf>
    <xf borderId="39" fillId="0" fontId="5" numFmtId="167" xfId="0" applyAlignment="1" applyBorder="1" applyFont="1" applyNumberFormat="1">
      <alignment horizontal="center" shrinkToFit="0" vertical="center" wrapText="1"/>
    </xf>
    <xf borderId="39" fillId="0" fontId="5" numFmtId="168" xfId="0" applyAlignment="1" applyBorder="1" applyFont="1" applyNumberFormat="1">
      <alignment horizontal="center" shrinkToFit="0" vertical="center" wrapText="1"/>
    </xf>
    <xf borderId="85" fillId="9" fontId="5" numFmtId="0" xfId="0" applyAlignment="1" applyBorder="1" applyFont="1">
      <alignment horizontal="center" shrinkToFit="0" vertical="center" wrapText="1"/>
    </xf>
    <xf borderId="86" fillId="9" fontId="5" numFmtId="0" xfId="0" applyAlignment="1" applyBorder="1" applyFont="1">
      <alignment horizontal="center" shrinkToFit="0" vertical="center" wrapText="1"/>
    </xf>
    <xf borderId="87" fillId="9" fontId="5" numFmtId="0" xfId="0" applyAlignment="1" applyBorder="1" applyFont="1">
      <alignment horizontal="center"/>
    </xf>
    <xf borderId="88" fillId="0" fontId="2" numFmtId="0" xfId="0" applyBorder="1" applyFont="1"/>
    <xf borderId="7" fillId="19" fontId="5" numFmtId="0" xfId="0" applyAlignment="1" applyBorder="1" applyFill="1" applyFont="1">
      <alignment horizontal="center" shrinkToFit="0" vertical="center" wrapText="1"/>
    </xf>
    <xf borderId="62" fillId="9" fontId="5" numFmtId="0" xfId="0" applyAlignment="1" applyBorder="1" applyFont="1">
      <alignment horizontal="center" shrinkToFit="0" vertical="center" wrapText="1"/>
    </xf>
    <xf borderId="45" fillId="9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62" fillId="0" fontId="5" numFmtId="169" xfId="0" applyAlignment="1" applyBorder="1" applyFont="1" applyNumberFormat="1">
      <alignment horizontal="center" shrinkToFit="0" vertical="center" wrapText="1"/>
    </xf>
    <xf borderId="37" fillId="6" fontId="12" numFmtId="0" xfId="0" applyAlignment="1" applyBorder="1" applyFont="1">
      <alignment horizontal="center"/>
    </xf>
    <xf borderId="89" fillId="8" fontId="5" numFmtId="0" xfId="0" applyAlignment="1" applyBorder="1" applyFont="1">
      <alignment horizontal="center" shrinkToFit="0" vertical="center" wrapText="1"/>
    </xf>
    <xf borderId="90" fillId="8" fontId="5" numFmtId="0" xfId="0" applyAlignment="1" applyBorder="1" applyFont="1">
      <alignment horizontal="center" shrinkToFit="0" vertical="center" wrapText="1"/>
    </xf>
    <xf borderId="90" fillId="18" fontId="5" numFmtId="0" xfId="0" applyAlignment="1" applyBorder="1" applyFont="1">
      <alignment horizontal="center" shrinkToFit="0" vertical="center" wrapText="1"/>
    </xf>
    <xf borderId="91" fillId="0" fontId="2" numFmtId="0" xfId="0" applyBorder="1" applyFont="1"/>
    <xf borderId="62" fillId="0" fontId="5" numFmtId="164" xfId="0" applyAlignment="1" applyBorder="1" applyFont="1" applyNumberFormat="1">
      <alignment horizontal="center" shrinkToFit="0" vertical="center" wrapText="1"/>
    </xf>
    <xf borderId="92" fillId="6" fontId="11" numFmtId="0" xfId="0" applyAlignment="1" applyBorder="1" applyFont="1">
      <alignment horizontal="center" shrinkToFit="0" vertical="center" wrapText="1"/>
    </xf>
    <xf borderId="62" fillId="0" fontId="5" numFmtId="168" xfId="0" applyAlignment="1" applyBorder="1" applyFont="1" applyNumberFormat="1">
      <alignment horizontal="center" shrinkToFit="0" vertical="center" wrapText="1"/>
    </xf>
    <xf borderId="62" fillId="0" fontId="5" numFmtId="167" xfId="0" applyAlignment="1" applyBorder="1" applyFont="1" applyNumberFormat="1">
      <alignment horizontal="center" shrinkToFit="0" vertical="center" wrapText="1"/>
    </xf>
    <xf borderId="62" fillId="0" fontId="5" numFmtId="171" xfId="0" applyAlignment="1" applyBorder="1" applyFont="1" applyNumberFormat="1">
      <alignment horizontal="center" shrinkToFit="0" vertical="center" wrapText="1"/>
    </xf>
    <xf borderId="62" fillId="0" fontId="5" numFmtId="170" xfId="0" applyAlignment="1" applyBorder="1" applyFont="1" applyNumberFormat="1">
      <alignment horizontal="center" shrinkToFit="0" vertical="center" wrapText="1"/>
    </xf>
    <xf borderId="45" fillId="0" fontId="5" numFmtId="169" xfId="0" applyAlignment="1" applyBorder="1" applyFont="1" applyNumberFormat="1">
      <alignment horizontal="center" shrinkToFit="0" vertical="center" wrapText="1"/>
    </xf>
    <xf borderId="93" fillId="0" fontId="5" numFmtId="167" xfId="0" applyAlignment="1" applyBorder="1" applyFont="1" applyNumberFormat="1">
      <alignment horizontal="center" shrinkToFit="0" vertical="center" wrapText="1"/>
    </xf>
    <xf borderId="94" fillId="0" fontId="5" numFmtId="0" xfId="0" applyAlignment="1" applyBorder="1" applyFont="1">
      <alignment horizontal="center" shrinkToFit="0" vertical="center" wrapText="1"/>
    </xf>
    <xf borderId="95" fillId="6" fontId="12" numFmtId="0" xfId="0" applyAlignment="1" applyBorder="1" applyFont="1">
      <alignment horizontal="center"/>
    </xf>
    <xf borderId="96" fillId="9" fontId="5" numFmtId="0" xfId="0" applyAlignment="1" applyBorder="1" applyFont="1">
      <alignment horizontal="center" shrinkToFit="0" vertical="center" wrapText="1"/>
    </xf>
    <xf borderId="97" fillId="9" fontId="5" numFmtId="0" xfId="0" applyAlignment="1" applyBorder="1" applyFont="1">
      <alignment horizontal="center" shrinkToFit="0" vertical="center" wrapText="1"/>
    </xf>
    <xf borderId="98" fillId="0" fontId="2" numFmtId="0" xfId="0" applyBorder="1" applyFont="1"/>
    <xf borderId="97" fillId="9" fontId="5" numFmtId="0" xfId="0" applyAlignment="1" applyBorder="1" applyFont="1">
      <alignment horizontal="center"/>
    </xf>
    <xf borderId="99" fillId="0" fontId="2" numFmtId="0" xfId="0" applyBorder="1" applyFont="1"/>
    <xf borderId="45" fillId="0" fontId="5" numFmtId="167" xfId="0" applyAlignment="1" applyBorder="1" applyFont="1" applyNumberFormat="1">
      <alignment horizontal="center" shrinkToFit="0" vertical="center" wrapText="1"/>
    </xf>
    <xf borderId="15" fillId="9" fontId="5" numFmtId="0" xfId="0" applyAlignment="1" applyBorder="1" applyFont="1">
      <alignment horizontal="center" shrinkToFit="0" vertical="center" wrapText="1"/>
    </xf>
    <xf borderId="4" fillId="14" fontId="5" numFmtId="0" xfId="0" applyBorder="1" applyFont="1"/>
    <xf borderId="4" fillId="14" fontId="4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horizontal="center" shrinkToFit="0" wrapText="1"/>
    </xf>
    <xf borderId="56" fillId="0" fontId="5" numFmtId="169" xfId="0" applyAlignment="1" applyBorder="1" applyFont="1" applyNumberFormat="1">
      <alignment horizontal="center" shrinkToFit="0" vertical="center" wrapText="1"/>
    </xf>
    <xf borderId="56" fillId="0" fontId="5" numFmtId="167" xfId="0" applyAlignment="1" applyBorder="1" applyFont="1" applyNumberFormat="1">
      <alignment horizontal="center" shrinkToFit="0" vertical="center" wrapText="1"/>
    </xf>
    <xf borderId="11" fillId="9" fontId="7" numFmtId="0" xfId="0" applyAlignment="1" applyBorder="1" applyFont="1">
      <alignment horizontal="center" shrinkToFit="0" vertical="center" wrapText="1"/>
    </xf>
    <xf borderId="11" fillId="9" fontId="7" numFmtId="0" xfId="0" applyAlignment="1" applyBorder="1" applyFont="1">
      <alignment horizontal="center" vertical="center"/>
    </xf>
    <xf borderId="27" fillId="9" fontId="7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14" fillId="9" fontId="7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62" fillId="0" fontId="5" numFmtId="165" xfId="0" applyAlignment="1" applyBorder="1" applyFont="1" applyNumberFormat="1">
      <alignment horizontal="center" shrinkToFit="0" vertical="center" wrapText="1"/>
    </xf>
    <xf borderId="38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vertical="center"/>
    </xf>
    <xf borderId="26" fillId="16" fontId="5" numFmtId="0" xfId="0" applyAlignment="1" applyBorder="1" applyFont="1">
      <alignment horizontal="center" shrinkToFit="0" vertical="center" wrapText="1"/>
    </xf>
    <xf borderId="10" fillId="16" fontId="5" numFmtId="0" xfId="0" applyAlignment="1" applyBorder="1" applyFont="1">
      <alignment horizontal="center" shrinkToFit="0" vertical="center" wrapText="1"/>
    </xf>
    <xf borderId="100" fillId="0" fontId="2" numFmtId="0" xfId="0" applyBorder="1" applyFont="1"/>
    <xf borderId="0" fillId="0" fontId="5" numFmtId="0" xfId="0" applyAlignment="1" applyFont="1">
      <alignment horizontal="left"/>
    </xf>
    <xf borderId="31" fillId="9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14" fillId="9" fontId="7" numFmtId="0" xfId="0" applyAlignment="1" applyBorder="1" applyFont="1">
      <alignment horizontal="center" vertical="center"/>
    </xf>
    <xf borderId="4" fillId="14" fontId="5" numFmtId="0" xfId="0" applyAlignment="1" applyBorder="1" applyFont="1">
      <alignment horizontal="center" shrinkToFit="0" vertical="center" wrapText="1"/>
    </xf>
    <xf borderId="38" fillId="0" fontId="5" numFmtId="165" xfId="0" applyAlignment="1" applyBorder="1" applyFont="1" applyNumberFormat="1">
      <alignment horizontal="center" shrinkToFit="0" wrapText="1"/>
    </xf>
    <xf borderId="38" fillId="0" fontId="5" numFmtId="0" xfId="0" applyBorder="1" applyFont="1"/>
    <xf borderId="4" fillId="20" fontId="11" numFmtId="0" xfId="0" applyAlignment="1" applyBorder="1" applyFill="1" applyFont="1">
      <alignment horizontal="center" shrinkToFit="0" vertical="center" wrapText="1"/>
    </xf>
    <xf borderId="4" fillId="20" fontId="5" numFmtId="0" xfId="0" applyAlignment="1" applyBorder="1" applyFont="1">
      <alignment horizontal="center" shrinkToFit="0" vertical="center" wrapText="1"/>
    </xf>
    <xf borderId="4" fillId="20" fontId="5" numFmtId="172" xfId="0" applyAlignment="1" applyBorder="1" applyFont="1" applyNumberFormat="1">
      <alignment horizontal="center" shrinkToFit="0" vertical="center" wrapText="1"/>
    </xf>
    <xf borderId="4" fillId="20" fontId="5" numFmtId="172" xfId="0" applyAlignment="1" applyBorder="1" applyFont="1" applyNumberFormat="1">
      <alignment horizontal="center" vertical="center"/>
    </xf>
    <xf borderId="4" fillId="17" fontId="11" numFmtId="0" xfId="0" applyAlignment="1" applyBorder="1" applyFont="1">
      <alignment horizontal="center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17" fontId="5" numFmtId="172" xfId="0" applyAlignment="1" applyBorder="1" applyFont="1" applyNumberFormat="1">
      <alignment horizontal="center" shrinkToFit="0" vertical="center" wrapText="1"/>
    </xf>
    <xf borderId="4" fillId="17" fontId="5" numFmtId="172" xfId="0" applyAlignment="1" applyBorder="1" applyFont="1" applyNumberFormat="1">
      <alignment horizontal="center" vertical="center"/>
    </xf>
    <xf borderId="4" fillId="0" fontId="5" numFmtId="172" xfId="0" applyAlignment="1" applyBorder="1" applyFont="1" applyNumberFormat="1">
      <alignment horizontal="center" shrinkToFit="0" vertical="center" wrapText="1"/>
    </xf>
    <xf borderId="4" fillId="0" fontId="5" numFmtId="172" xfId="0" applyAlignment="1" applyBorder="1" applyFont="1" applyNumberFormat="1">
      <alignment horizontal="center" vertical="center"/>
    </xf>
    <xf borderId="38" fillId="0" fontId="5" numFmtId="0" xfId="0" applyAlignment="1" applyBorder="1" applyFont="1">
      <alignment horizontal="center"/>
    </xf>
    <xf borderId="4" fillId="16" fontId="11" numFmtId="0" xfId="0" applyAlignment="1" applyBorder="1" applyFont="1">
      <alignment horizontal="center" shrinkToFit="0" vertical="center" wrapText="1"/>
    </xf>
    <xf borderId="4" fillId="16" fontId="5" numFmtId="0" xfId="0" applyAlignment="1" applyBorder="1" applyFont="1">
      <alignment horizontal="center" shrinkToFit="0" vertical="center" wrapText="1"/>
    </xf>
    <xf borderId="4" fillId="16" fontId="5" numFmtId="172" xfId="0" applyAlignment="1" applyBorder="1" applyFont="1" applyNumberFormat="1">
      <alignment horizontal="center" shrinkToFit="0" vertical="center" wrapText="1"/>
    </xf>
    <xf borderId="4" fillId="16" fontId="5" numFmtId="2" xfId="0" applyAlignment="1" applyBorder="1" applyFont="1" applyNumberForma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bottom" wrapText="1"/>
    </xf>
    <xf borderId="56" fillId="0" fontId="5" numFmtId="0" xfId="0" applyAlignment="1" applyBorder="1" applyFont="1">
      <alignment horizontal="center" shrinkToFit="0" vertical="bottom" wrapText="1"/>
    </xf>
    <xf borderId="56" fillId="0" fontId="5" numFmtId="0" xfId="0" applyAlignment="1" applyBorder="1" applyFont="1">
      <alignment vertical="bottom"/>
    </xf>
    <xf borderId="56" fillId="0" fontId="5" numFmtId="0" xfId="0" applyAlignment="1" applyBorder="1" applyFont="1">
      <alignment horizontal="right" vertical="bottom"/>
    </xf>
    <xf borderId="38" fillId="0" fontId="5" numFmtId="0" xfId="0" applyAlignment="1" applyBorder="1" applyFont="1">
      <alignment vertical="bottom"/>
    </xf>
    <xf borderId="38" fillId="0" fontId="5" numFmtId="169" xfId="0" applyBorder="1" applyFont="1" applyNumberFormat="1"/>
    <xf borderId="4" fillId="21" fontId="11" numFmtId="0" xfId="0" applyAlignment="1" applyBorder="1" applyFill="1" applyFont="1">
      <alignment horizontal="center" shrinkToFit="0" vertical="center" wrapText="1"/>
    </xf>
    <xf borderId="4" fillId="21" fontId="5" numFmtId="0" xfId="0" applyAlignment="1" applyBorder="1" applyFont="1">
      <alignment horizontal="center" shrinkToFit="0" vertical="center" wrapText="1"/>
    </xf>
    <xf borderId="4" fillId="21" fontId="5" numFmtId="172" xfId="0" applyAlignment="1" applyBorder="1" applyFont="1" applyNumberFormat="1">
      <alignment horizontal="center" shrinkToFit="0" vertical="center" wrapText="1"/>
    </xf>
    <xf borderId="4" fillId="21" fontId="5" numFmtId="172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shrinkToFit="0" wrapText="1"/>
    </xf>
    <xf borderId="12" fillId="9" fontId="5" numFmtId="165" xfId="0" applyAlignment="1" applyBorder="1" applyFont="1" applyNumberForma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36" fillId="0" fontId="5" numFmtId="165" xfId="0" applyAlignment="1" applyBorder="1" applyFont="1" applyNumberFormat="1">
      <alignment horizontal="center" shrinkToFit="0" vertical="center" wrapText="1"/>
    </xf>
    <xf borderId="0" fillId="14" fontId="5" numFmtId="0" xfId="0" applyFont="1"/>
    <xf borderId="5" fillId="8" fontId="5" numFmtId="0" xfId="0" applyAlignment="1" applyBorder="1" applyFont="1">
      <alignment horizontal="center" shrinkToFit="0" vertical="center" wrapText="1"/>
    </xf>
    <xf borderId="76" fillId="8" fontId="7" numFmtId="0" xfId="0" applyAlignment="1" applyBorder="1" applyFont="1">
      <alignment horizontal="center" shrinkToFit="0" vertical="center" wrapText="1"/>
    </xf>
    <xf borderId="4" fillId="0" fontId="5" numFmtId="172" xfId="0" applyAlignment="1" applyBorder="1" applyFont="1" applyNumberFormat="1">
      <alignment horizontal="center"/>
    </xf>
    <xf borderId="4" fillId="0" fontId="5" numFmtId="2" xfId="0" applyAlignment="1" applyBorder="1" applyFont="1" applyNumberFormat="1">
      <alignment horizontal="center" shrinkToFit="0" vertical="center" wrapText="1"/>
    </xf>
    <xf borderId="38" fillId="0" fontId="5" numFmtId="169" xfId="0" applyAlignment="1" applyBorder="1" applyFont="1" applyNumberFormat="1">
      <alignment horizontal="center" shrinkToFit="0" vertical="center" wrapText="1"/>
    </xf>
    <xf borderId="101" fillId="0" fontId="5" numFmtId="0" xfId="0" applyAlignment="1" applyBorder="1" applyFont="1">
      <alignment horizontal="center" shrinkToFit="0" vertical="center" wrapText="1"/>
    </xf>
    <xf borderId="70" fillId="8" fontId="7" numFmtId="0" xfId="0" applyAlignment="1" applyBorder="1" applyFont="1">
      <alignment horizontal="center" shrinkToFit="0" vertical="center" wrapText="1"/>
    </xf>
    <xf borderId="75" fillId="8" fontId="7" numFmtId="0" xfId="0" applyAlignment="1" applyBorder="1" applyFon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80" fillId="0" fontId="5" numFmtId="0" xfId="0" applyAlignment="1" applyBorder="1" applyFont="1">
      <alignment horizontal="center" shrinkToFit="0" vertical="center" wrapText="1"/>
    </xf>
    <xf borderId="5" fillId="0" fontId="5" numFmtId="172" xfId="0" applyAlignment="1" applyBorder="1" applyFont="1" applyNumberFormat="1">
      <alignment horizontal="center"/>
    </xf>
    <xf borderId="82" fillId="0" fontId="5" numFmtId="0" xfId="0" applyBorder="1" applyFont="1"/>
    <xf borderId="21" fillId="6" fontId="11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3" fillId="0" fontId="5" numFmtId="172" xfId="0" applyAlignment="1" applyBorder="1" applyFont="1" applyNumberFormat="1">
      <alignment horizontal="center"/>
    </xf>
    <xf borderId="24" fillId="0" fontId="5" numFmtId="0" xfId="0" applyBorder="1" applyFont="1"/>
    <xf borderId="0" fillId="0" fontId="5" numFmtId="172" xfId="0" applyAlignment="1" applyFont="1" applyNumberFormat="1">
      <alignment horizontal="center"/>
    </xf>
    <xf borderId="73" fillId="20" fontId="5" numFmtId="0" xfId="0" applyAlignment="1" applyBorder="1" applyFont="1">
      <alignment horizontal="center"/>
    </xf>
    <xf borderId="73" fillId="9" fontId="15" numFmtId="0" xfId="0" applyAlignment="1" applyBorder="1" applyFont="1">
      <alignment horizontal="center" shrinkToFit="0" wrapText="1"/>
    </xf>
    <xf borderId="0" fillId="20" fontId="5" numFmtId="0" xfId="0" applyAlignment="1" applyFont="1">
      <alignment horizontal="center"/>
    </xf>
    <xf borderId="0" fillId="9" fontId="15" numFmtId="0" xfId="0" applyAlignment="1" applyFont="1">
      <alignment horizontal="center" shrinkToFit="0" wrapText="1"/>
    </xf>
    <xf borderId="0" fillId="20" fontId="5" numFmtId="0" xfId="0" applyFont="1"/>
    <xf borderId="100" fillId="20" fontId="5" numFmtId="0" xfId="0" applyBorder="1" applyFont="1"/>
    <xf borderId="100" fillId="9" fontId="15" numFmtId="0" xfId="0" applyAlignment="1" applyBorder="1" applyFont="1">
      <alignment horizontal="center" shrinkToFit="0" wrapText="1"/>
    </xf>
    <xf borderId="12" fillId="16" fontId="5" numFmtId="0" xfId="0" applyAlignment="1" applyBorder="1" applyFont="1">
      <alignment horizontal="center" shrinkToFit="0" vertical="center" wrapText="1"/>
    </xf>
    <xf borderId="75" fillId="8" fontId="5" numFmtId="0" xfId="0" applyAlignment="1" applyBorder="1" applyFont="1">
      <alignment horizontal="center" shrinkToFit="0" vertical="center" wrapText="1"/>
    </xf>
    <xf borderId="102" fillId="0" fontId="2" numFmtId="0" xfId="0" applyBorder="1" applyFont="1"/>
    <xf borderId="103" fillId="0" fontId="2" numFmtId="0" xfId="0" applyBorder="1" applyFont="1"/>
    <xf borderId="0" fillId="6" fontId="16" numFmtId="0" xfId="0" applyFont="1"/>
    <xf borderId="0" fillId="6" fontId="14" numFmtId="0" xfId="0" applyAlignment="1" applyFont="1">
      <alignment horizontal="center"/>
    </xf>
    <xf borderId="6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0" fillId="6" fontId="17" numFmtId="0" xfId="0" applyFont="1"/>
    <xf borderId="21" fillId="0" fontId="5" numFmtId="0" xfId="0" applyAlignment="1" applyBorder="1" applyFont="1">
      <alignment horizontal="center" shrinkToFit="0" vertical="center" wrapText="1"/>
    </xf>
    <xf borderId="0" fillId="6" fontId="18" numFmtId="0" xfId="0" applyAlignment="1" applyFont="1">
      <alignment horizontal="left"/>
    </xf>
    <xf borderId="76" fillId="8" fontId="5" numFmtId="0" xfId="0" applyAlignment="1" applyBorder="1" applyFont="1">
      <alignment horizontal="center" shrinkToFit="0" vertical="center" wrapText="1"/>
    </xf>
    <xf borderId="19" fillId="6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vertical="center"/>
    </xf>
    <xf borderId="36" fillId="0" fontId="5" numFmtId="164" xfId="0" applyAlignment="1" applyBorder="1" applyFont="1" applyNumberFormat="1">
      <alignment horizontal="center" shrinkToFit="0" vertical="center" wrapText="1"/>
    </xf>
    <xf borderId="36" fillId="0" fontId="5" numFmtId="169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4" fillId="22" fontId="5" numFmtId="0" xfId="0" applyBorder="1" applyFill="1" applyFont="1"/>
    <xf borderId="5" fillId="0" fontId="5" numFmtId="0" xfId="0" applyBorder="1" applyFont="1"/>
    <xf borderId="78" fillId="0" fontId="5" numFmtId="0" xfId="0" applyAlignment="1" applyBorder="1" applyFont="1">
      <alignment horizontal="center" shrinkToFit="0" vertical="center" wrapText="1"/>
    </xf>
    <xf borderId="104" fillId="0" fontId="5" numFmtId="0" xfId="0" applyAlignment="1" applyBorder="1" applyFont="1">
      <alignment horizontal="center" shrinkToFit="0" vertical="center" wrapText="1"/>
    </xf>
    <xf borderId="105" fillId="0" fontId="5" numFmtId="0" xfId="0" applyAlignment="1" applyBorder="1" applyFont="1">
      <alignment horizontal="center" shrinkToFit="0" vertical="center" wrapText="1"/>
    </xf>
    <xf borderId="26" fillId="23" fontId="5" numFmtId="0" xfId="0" applyAlignment="1" applyBorder="1" applyFill="1" applyFont="1">
      <alignment horizontal="center"/>
    </xf>
    <xf borderId="106" fillId="0" fontId="5" numFmtId="0" xfId="0" applyAlignment="1" applyBorder="1" applyFont="1">
      <alignment horizontal="center" shrinkToFit="0" vertical="center" wrapText="1"/>
    </xf>
    <xf borderId="100" fillId="20" fontId="5" numFmtId="0" xfId="0" applyAlignment="1" applyBorder="1" applyFont="1">
      <alignment horizontal="center"/>
    </xf>
    <xf borderId="25" fillId="9" fontId="5" numFmtId="0" xfId="0" applyAlignment="1" applyBorder="1" applyFont="1">
      <alignment horizontal="center" shrinkToFit="0" vertical="center" wrapText="1"/>
    </xf>
    <xf borderId="107" fillId="0" fontId="5" numFmtId="0" xfId="0" applyAlignment="1" applyBorder="1" applyFont="1">
      <alignment horizontal="center" shrinkToFit="0" vertical="center" wrapText="1"/>
    </xf>
    <xf borderId="84" fillId="0" fontId="5" numFmtId="0" xfId="0" applyAlignment="1" applyBorder="1" applyFont="1">
      <alignment horizontal="center" shrinkToFit="0" vertical="center" wrapText="1"/>
    </xf>
    <xf borderId="53" fillId="0" fontId="5" numFmtId="164" xfId="0" applyAlignment="1" applyBorder="1" applyFont="1" applyNumberFormat="1">
      <alignment horizontal="center" shrinkToFit="0" vertical="center" wrapText="1"/>
    </xf>
    <xf borderId="1" fillId="14" fontId="19" numFmtId="0" xfId="0" applyAlignment="1" applyBorder="1" applyFont="1">
      <alignment horizontal="center" shrinkToFit="0" vertical="center" wrapText="1"/>
    </xf>
    <xf borderId="2" fillId="14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0" fontId="5" numFmtId="173" xfId="0" applyAlignment="1" applyBorder="1" applyFont="1" applyNumberForma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4" fillId="14" fontId="5" numFmtId="0" xfId="0" applyAlignment="1" applyBorder="1" applyFont="1">
      <alignment horizontal="center"/>
    </xf>
    <xf borderId="4" fillId="20" fontId="5" numFmtId="0" xfId="0" applyBorder="1" applyFont="1"/>
    <xf borderId="4" fillId="24" fontId="15" numFmtId="0" xfId="0" applyAlignment="1" applyBorder="1" applyFill="1" applyFont="1">
      <alignment horizontal="center" shrinkToFit="0" wrapText="1"/>
    </xf>
    <xf borderId="19" fillId="6" fontId="5" numFmtId="0" xfId="0" applyAlignment="1" applyBorder="1" applyFont="1">
      <alignment horizontal="center" shrinkToFit="0" vertical="center" wrapText="1"/>
    </xf>
    <xf borderId="0" fillId="14" fontId="5" numFmtId="165" xfId="0" applyAlignment="1" applyFont="1" applyNumberFormat="1">
      <alignment horizontal="center" shrinkToFit="0" vertical="center" wrapText="1"/>
    </xf>
    <xf borderId="7" fillId="9" fontId="5" numFmtId="165" xfId="0" applyAlignment="1" applyBorder="1" applyFont="1" applyNumberFormat="1">
      <alignment horizontal="center" shrinkToFit="0" vertical="center" wrapText="1"/>
    </xf>
    <xf borderId="26" fillId="23" fontId="5" numFmtId="0" xfId="0" applyAlignment="1" applyBorder="1" applyFont="1">
      <alignment horizontal="center" shrinkToFit="0" vertical="center" wrapText="1"/>
    </xf>
    <xf borderId="85" fillId="0" fontId="5" numFmtId="165" xfId="0" applyAlignment="1" applyBorder="1" applyFont="1" applyNumberFormat="1">
      <alignment horizontal="center" shrinkToFit="0" wrapText="1"/>
    </xf>
    <xf borderId="108" fillId="0" fontId="5" numFmtId="0" xfId="0" applyAlignment="1" applyBorder="1" applyFont="1">
      <alignment horizontal="center" shrinkToFit="0" wrapText="1"/>
    </xf>
    <xf borderId="108" fillId="0" fontId="5" numFmtId="0" xfId="0" applyBorder="1" applyFont="1"/>
    <xf borderId="109" fillId="8" fontId="7" numFmtId="0" xfId="0" applyAlignment="1" applyBorder="1" applyFont="1">
      <alignment horizontal="center" shrinkToFit="0" vertical="center" wrapText="1"/>
    </xf>
    <xf borderId="90" fillId="8" fontId="7" numFmtId="0" xfId="0" applyAlignment="1" applyBorder="1" applyFont="1">
      <alignment horizontal="center" shrinkToFit="0" vertical="center" wrapText="1"/>
    </xf>
    <xf borderId="30" fillId="0" fontId="5" numFmtId="0" xfId="0" applyBorder="1" applyFont="1"/>
    <xf borderId="79" fillId="6" fontId="11" numFmtId="0" xfId="0" applyAlignment="1" applyBorder="1" applyFont="1">
      <alignment horizontal="center" shrinkToFit="0" vertical="center" wrapText="1"/>
    </xf>
    <xf borderId="80" fillId="6" fontId="11" numFmtId="0" xfId="0" applyAlignment="1" applyBorder="1" applyFont="1">
      <alignment horizontal="center" shrinkToFit="0" vertical="center" wrapText="1"/>
    </xf>
    <xf borderId="79" fillId="0" fontId="5" numFmtId="0" xfId="0" applyAlignment="1" applyBorder="1" applyFont="1">
      <alignment horizontal="center"/>
    </xf>
    <xf borderId="110" fillId="0" fontId="5" numFmtId="0" xfId="0" applyAlignment="1" applyBorder="1" applyFont="1">
      <alignment horizontal="center" shrinkToFit="0" vertical="center" wrapText="1"/>
    </xf>
    <xf borderId="110" fillId="0" fontId="5" numFmtId="1" xfId="0" applyAlignment="1" applyBorder="1" applyFont="1" applyNumberFormat="1">
      <alignment horizontal="center" shrinkToFit="0" vertical="center" wrapText="1"/>
    </xf>
    <xf borderId="23" fillId="6" fontId="11" numFmtId="0" xfId="0" applyAlignment="1" applyBorder="1" applyFont="1">
      <alignment horizontal="center" shrinkToFit="0" vertical="center" wrapText="1"/>
    </xf>
    <xf borderId="111" fillId="0" fontId="5" numFmtId="0" xfId="0" applyAlignment="1" applyBorder="1" applyFont="1">
      <alignment horizontal="center" shrinkToFit="0" vertical="center" wrapText="1"/>
    </xf>
    <xf borderId="112" fillId="0" fontId="5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30" fillId="0" fontId="20" numFmtId="0" xfId="0" applyAlignment="1" applyBorder="1" applyFont="1">
      <alignment horizontal="left"/>
    </xf>
    <xf borderId="66" fillId="0" fontId="2" numFmtId="0" xfId="0" applyBorder="1" applyFont="1"/>
    <xf borderId="26" fillId="9" fontId="5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8.13"/>
    <col customWidth="1" min="3" max="3" width="12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5.75" customHeight="1">
      <c r="A3" s="5" t="s">
        <v>6</v>
      </c>
      <c r="B3" s="5" t="s">
        <v>7</v>
      </c>
      <c r="C3" s="6" t="s">
        <v>8</v>
      </c>
      <c r="D3" s="7" t="s">
        <v>9</v>
      </c>
      <c r="E3" s="5" t="s">
        <v>10</v>
      </c>
      <c r="F3" s="8" t="s">
        <v>11</v>
      </c>
    </row>
    <row r="4" ht="15.75" customHeight="1">
      <c r="A4" s="9" t="s">
        <v>12</v>
      </c>
      <c r="B4" s="9" t="s">
        <v>13</v>
      </c>
      <c r="C4" s="10" t="s">
        <v>14</v>
      </c>
      <c r="D4" s="11" t="s">
        <v>15</v>
      </c>
      <c r="E4" s="9" t="s">
        <v>12</v>
      </c>
    </row>
    <row r="5" ht="15.75" customHeight="1">
      <c r="A5" s="5" t="s">
        <v>16</v>
      </c>
      <c r="B5" s="5" t="s">
        <v>17</v>
      </c>
      <c r="C5" s="6" t="s">
        <v>18</v>
      </c>
      <c r="D5" s="7" t="s">
        <v>19</v>
      </c>
      <c r="E5" s="5" t="s">
        <v>20</v>
      </c>
      <c r="F5" s="8" t="s">
        <v>11</v>
      </c>
    </row>
    <row r="6" ht="15.75" customHeight="1">
      <c r="A6" s="9" t="s">
        <v>12</v>
      </c>
      <c r="B6" s="9" t="s">
        <v>21</v>
      </c>
      <c r="C6" s="9">
        <v>9.1215314E7</v>
      </c>
      <c r="D6" s="11" t="s">
        <v>22</v>
      </c>
      <c r="E6" s="9" t="s">
        <v>12</v>
      </c>
    </row>
    <row r="7" ht="15.75" customHeight="1">
      <c r="A7" s="5" t="s">
        <v>23</v>
      </c>
      <c r="B7" s="5" t="s">
        <v>24</v>
      </c>
      <c r="C7" s="6" t="s">
        <v>25</v>
      </c>
      <c r="D7" s="7" t="s">
        <v>26</v>
      </c>
      <c r="E7" s="5" t="s">
        <v>12</v>
      </c>
    </row>
    <row r="8" ht="15.75" customHeight="1">
      <c r="A8" s="9" t="s">
        <v>27</v>
      </c>
      <c r="B8" s="9" t="s">
        <v>28</v>
      </c>
      <c r="C8" s="9">
        <v>9.9292185E7</v>
      </c>
      <c r="D8" s="11" t="s">
        <v>29</v>
      </c>
      <c r="E8" s="9" t="s">
        <v>30</v>
      </c>
      <c r="F8" s="8" t="s">
        <v>11</v>
      </c>
    </row>
    <row r="9" ht="15.75" customHeight="1">
      <c r="A9" s="5" t="s">
        <v>31</v>
      </c>
      <c r="B9" s="5" t="s">
        <v>32</v>
      </c>
      <c r="C9" s="5">
        <v>9.8416481E7</v>
      </c>
      <c r="D9" s="7" t="s">
        <v>33</v>
      </c>
      <c r="E9" s="5" t="s">
        <v>34</v>
      </c>
      <c r="F9" s="8" t="s">
        <v>11</v>
      </c>
      <c r="J9" s="8">
        <v>130.0</v>
      </c>
    </row>
    <row r="10" ht="15.75" customHeight="1">
      <c r="A10" s="9" t="s">
        <v>35</v>
      </c>
      <c r="B10" s="9" t="s">
        <v>36</v>
      </c>
      <c r="C10" s="9" t="s">
        <v>37</v>
      </c>
      <c r="D10" s="11" t="s">
        <v>38</v>
      </c>
      <c r="E10" s="9" t="s">
        <v>12</v>
      </c>
      <c r="J10" s="8">
        <v>150.0</v>
      </c>
    </row>
    <row r="11" ht="15.75" customHeight="1">
      <c r="A11" s="5" t="s">
        <v>39</v>
      </c>
      <c r="B11" s="5" t="s">
        <v>40</v>
      </c>
      <c r="C11" s="5" t="s">
        <v>41</v>
      </c>
      <c r="D11" s="7" t="s">
        <v>42</v>
      </c>
      <c r="E11" s="5" t="s">
        <v>12</v>
      </c>
    </row>
    <row r="12" ht="15.75" customHeight="1">
      <c r="A12" s="9" t="s">
        <v>43</v>
      </c>
      <c r="B12" s="9" t="s">
        <v>44</v>
      </c>
      <c r="C12" s="9">
        <v>9.7362576E7</v>
      </c>
      <c r="D12" s="11" t="s">
        <v>45</v>
      </c>
      <c r="E12" s="9" t="s">
        <v>12</v>
      </c>
    </row>
    <row r="13" ht="15.75" customHeight="1">
      <c r="A13" s="12" t="s">
        <v>46</v>
      </c>
      <c r="B13" s="13" t="s">
        <v>47</v>
      </c>
      <c r="C13" s="14" t="s">
        <v>48</v>
      </c>
      <c r="D13" s="15" t="s">
        <v>49</v>
      </c>
      <c r="E13" s="12" t="s">
        <v>50</v>
      </c>
      <c r="H13" s="8" t="s">
        <v>51</v>
      </c>
    </row>
    <row r="14" ht="15.75" customHeight="1">
      <c r="A14" s="12" t="s">
        <v>52</v>
      </c>
      <c r="B14" s="16"/>
      <c r="C14" s="17" t="s">
        <v>53</v>
      </c>
      <c r="D14" s="15" t="s">
        <v>49</v>
      </c>
      <c r="E14" s="12" t="s">
        <v>54</v>
      </c>
    </row>
    <row r="15" ht="21.75" customHeight="1">
      <c r="A15" s="9" t="s">
        <v>55</v>
      </c>
      <c r="B15" s="9" t="s">
        <v>56</v>
      </c>
      <c r="C15" s="18">
        <v>9.9687922E7</v>
      </c>
      <c r="D15" s="11" t="s">
        <v>57</v>
      </c>
      <c r="E15" s="9" t="s">
        <v>50</v>
      </c>
    </row>
    <row r="16" ht="15.75" customHeight="1">
      <c r="A16" s="19" t="s">
        <v>58</v>
      </c>
      <c r="B16" s="19" t="s">
        <v>59</v>
      </c>
      <c r="C16" s="20">
        <v>9.471031E7</v>
      </c>
      <c r="D16" s="21" t="s">
        <v>60</v>
      </c>
      <c r="E16" s="19" t="s">
        <v>12</v>
      </c>
    </row>
    <row r="17" ht="15.75" customHeight="1">
      <c r="A17" s="22" t="s">
        <v>61</v>
      </c>
      <c r="B17" s="22" t="s">
        <v>62</v>
      </c>
      <c r="C17" s="23">
        <v>9.8806419E7</v>
      </c>
      <c r="D17" s="24" t="s">
        <v>63</v>
      </c>
      <c r="E17" s="25" t="s">
        <v>12</v>
      </c>
    </row>
    <row r="18" ht="15.75" customHeight="1">
      <c r="A18" s="26" t="s">
        <v>64</v>
      </c>
      <c r="B18" s="26" t="s">
        <v>65</v>
      </c>
      <c r="C18" s="20" t="s">
        <v>66</v>
      </c>
      <c r="D18" s="27" t="s">
        <v>67</v>
      </c>
      <c r="E18" s="20" t="s">
        <v>12</v>
      </c>
    </row>
    <row r="19" ht="15.75" customHeight="1">
      <c r="A19" s="22" t="s">
        <v>68</v>
      </c>
      <c r="B19" s="28"/>
      <c r="C19" s="23" t="s">
        <v>69</v>
      </c>
      <c r="D19" s="29" t="s">
        <v>70</v>
      </c>
      <c r="E19" s="22" t="s">
        <v>12</v>
      </c>
    </row>
    <row r="20" ht="15.75" customHeight="1">
      <c r="A20" s="30" t="s">
        <v>71</v>
      </c>
      <c r="B20" s="30"/>
      <c r="C20" s="31">
        <v>9.147495E7</v>
      </c>
      <c r="D20" s="32" t="s">
        <v>72</v>
      </c>
      <c r="E20" s="30" t="s">
        <v>12</v>
      </c>
    </row>
    <row r="21" ht="15.75" customHeight="1">
      <c r="A21" s="9" t="s">
        <v>73</v>
      </c>
      <c r="B21" s="18" t="s">
        <v>74</v>
      </c>
      <c r="C21" s="9">
        <v>9.8911851E7</v>
      </c>
      <c r="D21" s="11" t="s">
        <v>75</v>
      </c>
      <c r="E21" s="9" t="s">
        <v>12</v>
      </c>
    </row>
    <row r="22" ht="15.75" customHeight="1">
      <c r="A22" s="33" t="s">
        <v>76</v>
      </c>
      <c r="B22" s="34" t="s">
        <v>77</v>
      </c>
      <c r="C22" s="35">
        <v>9.5118637E7</v>
      </c>
      <c r="D22" s="36" t="s">
        <v>78</v>
      </c>
      <c r="E22" s="33" t="s">
        <v>12</v>
      </c>
    </row>
    <row r="23" ht="15.75" customHeight="1">
      <c r="A23" s="33" t="s">
        <v>79</v>
      </c>
      <c r="B23" s="34" t="s">
        <v>80</v>
      </c>
      <c r="C23" s="35">
        <v>2.9044444E7</v>
      </c>
      <c r="D23" s="36" t="s">
        <v>81</v>
      </c>
      <c r="E23" s="33" t="s">
        <v>12</v>
      </c>
    </row>
    <row r="24" ht="15.75" customHeight="1">
      <c r="A24" s="33" t="s">
        <v>82</v>
      </c>
      <c r="B24" s="34" t="s">
        <v>83</v>
      </c>
      <c r="C24" s="35"/>
      <c r="D24" s="36" t="s">
        <v>84</v>
      </c>
      <c r="E24" s="33" t="s">
        <v>85</v>
      </c>
      <c r="F24" s="8" t="s">
        <v>11</v>
      </c>
    </row>
    <row r="25" ht="15.75" customHeight="1">
      <c r="A25" s="34" t="s">
        <v>86</v>
      </c>
      <c r="B25" s="34" t="s">
        <v>87</v>
      </c>
      <c r="C25" s="35" t="s">
        <v>88</v>
      </c>
      <c r="D25" s="36" t="s">
        <v>64</v>
      </c>
      <c r="E25" s="3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13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63"/>
    <col customWidth="1" min="4" max="6" width="12.63"/>
    <col customWidth="1" min="7" max="7" width="13.75"/>
    <col customWidth="1" min="9" max="9" width="15.25"/>
    <col customWidth="1" min="10" max="10" width="17.0"/>
  </cols>
  <sheetData>
    <row r="1" ht="15.75" customHeight="1"/>
    <row r="2" ht="15.75" customHeight="1">
      <c r="B2" s="37" t="s">
        <v>89</v>
      </c>
      <c r="C2" s="37" t="s">
        <v>90</v>
      </c>
      <c r="G2" s="37" t="s">
        <v>91</v>
      </c>
      <c r="I2" s="38" t="s">
        <v>89</v>
      </c>
      <c r="J2" s="38" t="s">
        <v>90</v>
      </c>
      <c r="N2" s="38" t="s">
        <v>91</v>
      </c>
    </row>
    <row r="3" ht="15.75" customHeight="1">
      <c r="B3" s="39" t="s">
        <v>92</v>
      </c>
      <c r="C3" s="40">
        <v>9.9643647E7</v>
      </c>
      <c r="G3" s="41">
        <v>44999.0</v>
      </c>
      <c r="I3" s="39" t="s">
        <v>93</v>
      </c>
      <c r="J3" s="40">
        <v>9.7252612E7</v>
      </c>
      <c r="N3" s="41">
        <v>45014.0</v>
      </c>
    </row>
    <row r="4" ht="15.75" customHeight="1">
      <c r="B4" s="42" t="s">
        <v>94</v>
      </c>
      <c r="C4" s="43"/>
      <c r="D4" s="44" t="s">
        <v>95</v>
      </c>
      <c r="E4" s="44" t="s">
        <v>96</v>
      </c>
      <c r="F4" s="44" t="s">
        <v>97</v>
      </c>
      <c r="G4" s="44" t="s">
        <v>98</v>
      </c>
      <c r="I4" s="45" t="s">
        <v>94</v>
      </c>
      <c r="J4" s="43"/>
      <c r="K4" s="46" t="s">
        <v>95</v>
      </c>
      <c r="L4" s="46" t="s">
        <v>96</v>
      </c>
      <c r="M4" s="46" t="s">
        <v>97</v>
      </c>
      <c r="N4" s="46" t="s">
        <v>98</v>
      </c>
    </row>
    <row r="5" ht="15.75" customHeight="1">
      <c r="B5" s="47"/>
      <c r="C5" s="48"/>
      <c r="D5" s="49"/>
      <c r="E5" s="49"/>
      <c r="F5" s="49"/>
      <c r="G5" s="49"/>
      <c r="I5" s="47"/>
      <c r="J5" s="48"/>
      <c r="K5" s="49"/>
      <c r="L5" s="49"/>
      <c r="M5" s="49"/>
      <c r="N5" s="49"/>
    </row>
    <row r="6" ht="15.75" customHeight="1">
      <c r="B6" s="50" t="s">
        <v>99</v>
      </c>
      <c r="C6" s="51"/>
      <c r="D6" s="52">
        <v>600.0</v>
      </c>
      <c r="E6" s="52">
        <f t="shared" ref="E6:E13" si="1">D6/6</f>
        <v>100</v>
      </c>
      <c r="F6" s="52">
        <f t="shared" ref="F6:F16" si="2">E6*1.3</f>
        <v>130</v>
      </c>
      <c r="G6" s="53">
        <v>130.0</v>
      </c>
      <c r="I6" s="50" t="s">
        <v>100</v>
      </c>
      <c r="J6" s="51"/>
      <c r="K6" s="52">
        <v>650.0</v>
      </c>
      <c r="L6" s="52">
        <f t="shared" ref="L6:L8" si="3">K6/8</f>
        <v>81.25</v>
      </c>
      <c r="M6" s="52">
        <f t="shared" ref="M6:M15" si="4">L6*1.3</f>
        <v>105.625</v>
      </c>
      <c r="N6" s="53">
        <v>100.0</v>
      </c>
    </row>
    <row r="7" ht="15.75" customHeight="1">
      <c r="B7" s="54" t="s">
        <v>101</v>
      </c>
      <c r="C7" s="3"/>
      <c r="D7" s="55">
        <v>760.0</v>
      </c>
      <c r="E7" s="55">
        <f t="shared" si="1"/>
        <v>126.6666667</v>
      </c>
      <c r="F7" s="55">
        <f t="shared" si="2"/>
        <v>164.6666667</v>
      </c>
      <c r="G7" s="56">
        <v>165.0</v>
      </c>
      <c r="I7" s="54" t="s">
        <v>102</v>
      </c>
      <c r="J7" s="3"/>
      <c r="K7" s="55">
        <v>650.0</v>
      </c>
      <c r="L7" s="55">
        <f t="shared" si="3"/>
        <v>81.25</v>
      </c>
      <c r="M7" s="52">
        <f t="shared" si="4"/>
        <v>105.625</v>
      </c>
      <c r="N7" s="56">
        <v>100.0</v>
      </c>
    </row>
    <row r="8" ht="15.75" customHeight="1">
      <c r="B8" s="54" t="s">
        <v>103</v>
      </c>
      <c r="C8" s="3"/>
      <c r="D8" s="55">
        <v>550.0</v>
      </c>
      <c r="E8" s="55">
        <f t="shared" si="1"/>
        <v>91.66666667</v>
      </c>
      <c r="F8" s="55">
        <f t="shared" si="2"/>
        <v>119.1666667</v>
      </c>
      <c r="G8" s="56">
        <v>120.0</v>
      </c>
      <c r="I8" s="54" t="s">
        <v>104</v>
      </c>
      <c r="J8" s="3"/>
      <c r="K8" s="55">
        <v>650.0</v>
      </c>
      <c r="L8" s="55">
        <f t="shared" si="3"/>
        <v>81.25</v>
      </c>
      <c r="M8" s="52">
        <f t="shared" si="4"/>
        <v>105.625</v>
      </c>
      <c r="N8" s="56">
        <v>100.0</v>
      </c>
    </row>
    <row r="9" ht="15.75" customHeight="1">
      <c r="B9" s="54" t="s">
        <v>105</v>
      </c>
      <c r="C9" s="3"/>
      <c r="D9" s="55">
        <v>550.0</v>
      </c>
      <c r="E9" s="55">
        <f t="shared" si="1"/>
        <v>91.66666667</v>
      </c>
      <c r="F9" s="55">
        <f t="shared" si="2"/>
        <v>119.1666667</v>
      </c>
      <c r="G9" s="56">
        <v>120.0</v>
      </c>
      <c r="I9" s="54" t="s">
        <v>106</v>
      </c>
      <c r="J9" s="3"/>
      <c r="K9" s="55"/>
      <c r="L9" s="55">
        <v>100.0</v>
      </c>
      <c r="M9" s="52">
        <f t="shared" si="4"/>
        <v>130</v>
      </c>
      <c r="N9" s="56">
        <v>130.0</v>
      </c>
    </row>
    <row r="10" ht="15.75" customHeight="1">
      <c r="B10" s="54" t="s">
        <v>107</v>
      </c>
      <c r="C10" s="3"/>
      <c r="D10" s="55">
        <v>550.0</v>
      </c>
      <c r="E10" s="55">
        <f t="shared" si="1"/>
        <v>91.66666667</v>
      </c>
      <c r="F10" s="55">
        <f t="shared" si="2"/>
        <v>119.1666667</v>
      </c>
      <c r="G10" s="56">
        <v>120.0</v>
      </c>
      <c r="I10" s="54" t="s">
        <v>108</v>
      </c>
      <c r="J10" s="3"/>
      <c r="K10" s="55"/>
      <c r="L10" s="55">
        <v>75.0</v>
      </c>
      <c r="M10" s="52">
        <f t="shared" si="4"/>
        <v>97.5</v>
      </c>
      <c r="N10" s="56">
        <v>100.0</v>
      </c>
    </row>
    <row r="11" ht="15.75" customHeight="1">
      <c r="B11" s="54" t="s">
        <v>109</v>
      </c>
      <c r="C11" s="3"/>
      <c r="D11" s="55">
        <v>550.0</v>
      </c>
      <c r="E11" s="55">
        <f t="shared" si="1"/>
        <v>91.66666667</v>
      </c>
      <c r="F11" s="55">
        <f t="shared" si="2"/>
        <v>119.1666667</v>
      </c>
      <c r="G11" s="56">
        <v>120.0</v>
      </c>
      <c r="I11" s="54" t="s">
        <v>110</v>
      </c>
      <c r="J11" s="3"/>
      <c r="K11" s="55"/>
      <c r="L11" s="55">
        <v>75.0</v>
      </c>
      <c r="M11" s="52">
        <f t="shared" si="4"/>
        <v>97.5</v>
      </c>
      <c r="N11" s="56">
        <v>100.0</v>
      </c>
    </row>
    <row r="12" ht="15.75" customHeight="1">
      <c r="B12" s="54" t="s">
        <v>111</v>
      </c>
      <c r="C12" s="3"/>
      <c r="D12" s="55">
        <v>480.0</v>
      </c>
      <c r="E12" s="55">
        <f t="shared" si="1"/>
        <v>80</v>
      </c>
      <c r="F12" s="55">
        <f t="shared" si="2"/>
        <v>104</v>
      </c>
      <c r="G12" s="56">
        <v>105.0</v>
      </c>
      <c r="I12" s="54" t="s">
        <v>112</v>
      </c>
      <c r="J12" s="3"/>
      <c r="K12" s="55"/>
      <c r="L12" s="55">
        <v>75.0</v>
      </c>
      <c r="M12" s="52">
        <f t="shared" si="4"/>
        <v>97.5</v>
      </c>
      <c r="N12" s="56">
        <v>100.0</v>
      </c>
    </row>
    <row r="13" ht="15.75" customHeight="1">
      <c r="B13" s="54" t="s">
        <v>113</v>
      </c>
      <c r="C13" s="3"/>
      <c r="D13" s="55">
        <v>400.0</v>
      </c>
      <c r="E13" s="55">
        <f t="shared" si="1"/>
        <v>66.66666667</v>
      </c>
      <c r="F13" s="55">
        <f t="shared" si="2"/>
        <v>86.66666667</v>
      </c>
      <c r="G13" s="56">
        <v>87.0</v>
      </c>
      <c r="I13" s="54" t="s">
        <v>114</v>
      </c>
      <c r="J13" s="3"/>
      <c r="K13" s="55"/>
      <c r="L13" s="55">
        <v>100.0</v>
      </c>
      <c r="M13" s="52">
        <f t="shared" si="4"/>
        <v>130</v>
      </c>
      <c r="N13" s="56">
        <v>130.0</v>
      </c>
    </row>
    <row r="14" ht="15.75" customHeight="1">
      <c r="B14" s="54" t="s">
        <v>115</v>
      </c>
      <c r="C14" s="3"/>
      <c r="D14" s="55">
        <v>480.0</v>
      </c>
      <c r="E14" s="55">
        <f>D14/12</f>
        <v>40</v>
      </c>
      <c r="F14" s="55">
        <f t="shared" si="2"/>
        <v>52</v>
      </c>
      <c r="G14" s="56">
        <v>52.0</v>
      </c>
      <c r="I14" s="54" t="s">
        <v>116</v>
      </c>
      <c r="J14" s="3"/>
      <c r="K14" s="55">
        <v>750.0</v>
      </c>
      <c r="L14" s="55">
        <f>K14/8</f>
        <v>93.75</v>
      </c>
      <c r="M14" s="52">
        <f t="shared" si="4"/>
        <v>121.875</v>
      </c>
      <c r="N14" s="56">
        <v>120.0</v>
      </c>
    </row>
    <row r="15" ht="15.75" customHeight="1">
      <c r="B15" s="54" t="s">
        <v>117</v>
      </c>
      <c r="C15" s="3"/>
      <c r="D15" s="55">
        <v>490.0</v>
      </c>
      <c r="E15" s="55">
        <f t="shared" ref="E15:E16" si="5">D15/6</f>
        <v>81.66666667</v>
      </c>
      <c r="F15" s="55">
        <f t="shared" si="2"/>
        <v>106.1666667</v>
      </c>
      <c r="G15" s="56">
        <v>105.0</v>
      </c>
      <c r="I15" s="54"/>
      <c r="J15" s="3"/>
      <c r="K15" s="55"/>
      <c r="L15" s="55"/>
      <c r="M15" s="52">
        <f t="shared" si="4"/>
        <v>0</v>
      </c>
      <c r="N15" s="56"/>
    </row>
    <row r="16" ht="15.75" customHeight="1">
      <c r="B16" s="57" t="s">
        <v>118</v>
      </c>
      <c r="C16" s="58"/>
      <c r="D16" s="59">
        <v>600.0</v>
      </c>
      <c r="E16" s="59">
        <f t="shared" si="5"/>
        <v>100</v>
      </c>
      <c r="F16" s="59">
        <f t="shared" si="2"/>
        <v>130</v>
      </c>
      <c r="G16" s="60">
        <v>130.0</v>
      </c>
      <c r="I16" s="57"/>
      <c r="J16" s="58"/>
      <c r="K16" s="59"/>
      <c r="L16" s="59"/>
      <c r="M16" s="59"/>
      <c r="N16" s="60"/>
    </row>
    <row r="17" ht="15.75" customHeight="1"/>
    <row r="18" ht="15.75" customHeight="1"/>
    <row r="19" ht="15.75" customHeight="1">
      <c r="B19" s="61" t="s">
        <v>89</v>
      </c>
      <c r="C19" s="61" t="s">
        <v>90</v>
      </c>
      <c r="G19" s="61" t="s">
        <v>91</v>
      </c>
      <c r="I19" s="62" t="s">
        <v>89</v>
      </c>
      <c r="J19" s="62" t="s">
        <v>90</v>
      </c>
      <c r="N19" s="62" t="s">
        <v>91</v>
      </c>
    </row>
    <row r="20" ht="15.75" customHeight="1">
      <c r="B20" s="39" t="s">
        <v>15</v>
      </c>
      <c r="C20" s="40">
        <v>9.5456101E7</v>
      </c>
      <c r="G20" s="41"/>
      <c r="I20" s="39"/>
      <c r="J20" s="40"/>
      <c r="N20" s="41"/>
    </row>
    <row r="21" ht="15.75" customHeight="1">
      <c r="B21" s="63" t="s">
        <v>94</v>
      </c>
      <c r="C21" s="43"/>
      <c r="D21" s="64" t="s">
        <v>95</v>
      </c>
      <c r="E21" s="64" t="s">
        <v>96</v>
      </c>
      <c r="F21" s="64" t="s">
        <v>97</v>
      </c>
      <c r="G21" s="64" t="s">
        <v>98</v>
      </c>
      <c r="I21" s="65" t="s">
        <v>94</v>
      </c>
      <c r="J21" s="43"/>
      <c r="K21" s="66" t="s">
        <v>95</v>
      </c>
      <c r="L21" s="66" t="s">
        <v>96</v>
      </c>
      <c r="M21" s="66" t="s">
        <v>97</v>
      </c>
      <c r="N21" s="66" t="s">
        <v>98</v>
      </c>
    </row>
    <row r="22" ht="15.75" customHeight="1">
      <c r="B22" s="47"/>
      <c r="C22" s="48"/>
      <c r="D22" s="49"/>
      <c r="E22" s="49"/>
      <c r="F22" s="49"/>
      <c r="G22" s="49"/>
      <c r="I22" s="47"/>
      <c r="J22" s="48"/>
      <c r="K22" s="49"/>
      <c r="L22" s="49"/>
      <c r="M22" s="49"/>
      <c r="N22" s="49"/>
    </row>
    <row r="23" ht="15.75" customHeight="1">
      <c r="B23" s="50"/>
      <c r="C23" s="51"/>
      <c r="D23" s="52"/>
      <c r="E23" s="52"/>
      <c r="F23" s="52"/>
      <c r="G23" s="53"/>
      <c r="I23" s="50"/>
      <c r="J23" s="51"/>
      <c r="K23" s="52"/>
      <c r="L23" s="52"/>
      <c r="M23" s="52"/>
      <c r="N23" s="53"/>
    </row>
    <row r="24" ht="15.75" customHeight="1">
      <c r="B24" s="54"/>
      <c r="C24" s="3"/>
      <c r="D24" s="55"/>
      <c r="E24" s="55"/>
      <c r="F24" s="55"/>
      <c r="G24" s="56"/>
      <c r="I24" s="54"/>
      <c r="J24" s="3"/>
      <c r="K24" s="55"/>
      <c r="L24" s="55"/>
      <c r="M24" s="55"/>
      <c r="N24" s="56"/>
    </row>
    <row r="25" ht="15.75" customHeight="1">
      <c r="B25" s="54"/>
      <c r="C25" s="3"/>
      <c r="D25" s="55"/>
      <c r="E25" s="55"/>
      <c r="F25" s="55"/>
      <c r="G25" s="56"/>
      <c r="I25" s="54"/>
      <c r="J25" s="3"/>
      <c r="K25" s="55"/>
      <c r="L25" s="55"/>
      <c r="M25" s="55"/>
      <c r="N25" s="56"/>
    </row>
    <row r="26" ht="15.75" customHeight="1">
      <c r="B26" s="54"/>
      <c r="C26" s="3"/>
      <c r="D26" s="55"/>
      <c r="E26" s="55"/>
      <c r="F26" s="55"/>
      <c r="G26" s="56"/>
      <c r="I26" s="54"/>
      <c r="J26" s="3"/>
      <c r="K26" s="55"/>
      <c r="L26" s="55"/>
      <c r="M26" s="55"/>
      <c r="N26" s="56"/>
    </row>
    <row r="27" ht="15.75" customHeight="1">
      <c r="B27" s="54"/>
      <c r="C27" s="3"/>
      <c r="D27" s="55"/>
      <c r="E27" s="55"/>
      <c r="F27" s="55"/>
      <c r="G27" s="56"/>
      <c r="I27" s="54"/>
      <c r="J27" s="3"/>
      <c r="K27" s="55"/>
      <c r="L27" s="55"/>
      <c r="M27" s="55"/>
      <c r="N27" s="56"/>
    </row>
    <row r="28" ht="15.75" customHeight="1">
      <c r="B28" s="54"/>
      <c r="C28" s="3"/>
      <c r="D28" s="55"/>
      <c r="E28" s="55"/>
      <c r="F28" s="55"/>
      <c r="G28" s="56"/>
      <c r="I28" s="54"/>
      <c r="J28" s="3"/>
      <c r="K28" s="55"/>
      <c r="L28" s="55"/>
      <c r="M28" s="55"/>
      <c r="N28" s="56"/>
    </row>
    <row r="29" ht="15.75" customHeight="1">
      <c r="B29" s="54"/>
      <c r="C29" s="3"/>
      <c r="D29" s="55"/>
      <c r="E29" s="55"/>
      <c r="F29" s="55"/>
      <c r="G29" s="56"/>
      <c r="I29" s="54"/>
      <c r="J29" s="3"/>
      <c r="K29" s="55"/>
      <c r="L29" s="55"/>
      <c r="M29" s="55"/>
      <c r="N29" s="56"/>
    </row>
    <row r="30" ht="15.75" customHeight="1">
      <c r="B30" s="54"/>
      <c r="C30" s="3"/>
      <c r="D30" s="55"/>
      <c r="E30" s="55"/>
      <c r="F30" s="55"/>
      <c r="G30" s="56"/>
      <c r="I30" s="54"/>
      <c r="J30" s="3"/>
      <c r="K30" s="55"/>
      <c r="L30" s="55"/>
      <c r="M30" s="55"/>
      <c r="N30" s="56"/>
    </row>
    <row r="31" ht="15.75" customHeight="1">
      <c r="B31" s="54"/>
      <c r="C31" s="3"/>
      <c r="D31" s="55"/>
      <c r="E31" s="55"/>
      <c r="F31" s="55"/>
      <c r="G31" s="56"/>
      <c r="I31" s="54"/>
      <c r="J31" s="3"/>
      <c r="K31" s="55"/>
      <c r="L31" s="55"/>
      <c r="M31" s="55"/>
      <c r="N31" s="56"/>
    </row>
    <row r="32" ht="15.75" customHeight="1">
      <c r="B32" s="54"/>
      <c r="C32" s="3"/>
      <c r="D32" s="55"/>
      <c r="E32" s="55"/>
      <c r="F32" s="55"/>
      <c r="G32" s="56"/>
      <c r="I32" s="54"/>
      <c r="J32" s="3"/>
      <c r="K32" s="55"/>
      <c r="L32" s="55"/>
      <c r="M32" s="55"/>
      <c r="N32" s="56"/>
    </row>
    <row r="33" ht="15.75" customHeight="1">
      <c r="B33" s="57"/>
      <c r="C33" s="58"/>
      <c r="D33" s="59"/>
      <c r="E33" s="59"/>
      <c r="F33" s="59"/>
      <c r="G33" s="60"/>
      <c r="I33" s="57"/>
      <c r="J33" s="58"/>
      <c r="K33" s="59"/>
      <c r="L33" s="59"/>
      <c r="M33" s="59"/>
      <c r="N33" s="6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I21:J22"/>
    <mergeCell ref="I23:J23"/>
    <mergeCell ref="B21:C22"/>
    <mergeCell ref="D21:D22"/>
    <mergeCell ref="E21:E22"/>
    <mergeCell ref="F21:F22"/>
    <mergeCell ref="G21:G22"/>
    <mergeCell ref="K21:K22"/>
    <mergeCell ref="B23:C23"/>
    <mergeCell ref="B27:C27"/>
    <mergeCell ref="B28:C28"/>
    <mergeCell ref="B29:C29"/>
    <mergeCell ref="B30:C30"/>
    <mergeCell ref="B31:C31"/>
    <mergeCell ref="B32:C32"/>
    <mergeCell ref="B33:C33"/>
    <mergeCell ref="I28:J28"/>
    <mergeCell ref="I29:J29"/>
    <mergeCell ref="I30:J30"/>
    <mergeCell ref="I31:J31"/>
    <mergeCell ref="I32:J32"/>
    <mergeCell ref="I33:J33"/>
    <mergeCell ref="B24:C24"/>
    <mergeCell ref="I24:J24"/>
    <mergeCell ref="B25:C25"/>
    <mergeCell ref="I25:J25"/>
    <mergeCell ref="B26:C26"/>
    <mergeCell ref="I26:J26"/>
    <mergeCell ref="I27:J27"/>
    <mergeCell ref="L4:L5"/>
    <mergeCell ref="M4:M5"/>
    <mergeCell ref="N4:N5"/>
    <mergeCell ref="I4:J5"/>
    <mergeCell ref="I6:J6"/>
    <mergeCell ref="B4:C5"/>
    <mergeCell ref="D4:D5"/>
    <mergeCell ref="E4:E5"/>
    <mergeCell ref="F4:F5"/>
    <mergeCell ref="G4:G5"/>
    <mergeCell ref="K4:K5"/>
    <mergeCell ref="B6:C6"/>
    <mergeCell ref="I11:J11"/>
    <mergeCell ref="I12:J12"/>
    <mergeCell ref="I13:J13"/>
    <mergeCell ref="I14:J14"/>
    <mergeCell ref="I15:J15"/>
    <mergeCell ref="I16:J16"/>
    <mergeCell ref="B7:C7"/>
    <mergeCell ref="I7:J7"/>
    <mergeCell ref="B8:C8"/>
    <mergeCell ref="I8:J8"/>
    <mergeCell ref="B9:C9"/>
    <mergeCell ref="I9:J9"/>
    <mergeCell ref="I10:J10"/>
    <mergeCell ref="B10:C10"/>
    <mergeCell ref="B11:C11"/>
    <mergeCell ref="B12:C12"/>
    <mergeCell ref="B13:C13"/>
    <mergeCell ref="B14:C14"/>
    <mergeCell ref="B15:C15"/>
    <mergeCell ref="B16:C16"/>
    <mergeCell ref="L21:L22"/>
    <mergeCell ref="M21:M22"/>
    <mergeCell ref="N21:N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5" width="13.88"/>
    <col customWidth="1" min="6" max="6" width="12.63"/>
    <col customWidth="1" min="12" max="12" width="4.0"/>
    <col customWidth="1" min="13" max="13" width="14.38"/>
    <col customWidth="1" min="14" max="14" width="13.13"/>
    <col customWidth="1" min="17" max="17" width="15.0"/>
  </cols>
  <sheetData>
    <row r="1" ht="15.75" customHeight="1">
      <c r="A1" s="67" t="s">
        <v>119</v>
      </c>
      <c r="B1" s="68" t="s">
        <v>120</v>
      </c>
      <c r="C1" s="69"/>
      <c r="D1" s="69"/>
      <c r="E1" s="69"/>
      <c r="F1" s="70" t="s">
        <v>121</v>
      </c>
      <c r="G1" s="71"/>
      <c r="H1" s="72" t="s">
        <v>122</v>
      </c>
      <c r="I1" s="69"/>
      <c r="J1" s="69"/>
      <c r="K1" s="71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5.75" customHeight="1">
      <c r="A2" s="74"/>
      <c r="B2" s="75" t="s">
        <v>123</v>
      </c>
      <c r="C2" s="75" t="s">
        <v>124</v>
      </c>
      <c r="D2" s="75" t="s">
        <v>125</v>
      </c>
      <c r="E2" s="76" t="s">
        <v>126</v>
      </c>
      <c r="F2" s="77" t="s">
        <v>127</v>
      </c>
      <c r="G2" s="77" t="s">
        <v>128</v>
      </c>
      <c r="H2" s="78" t="s">
        <v>129</v>
      </c>
      <c r="I2" s="79" t="s">
        <v>130</v>
      </c>
      <c r="J2" s="79" t="s">
        <v>131</v>
      </c>
      <c r="K2" s="80" t="s">
        <v>132</v>
      </c>
      <c r="L2" s="73"/>
      <c r="M2" s="73"/>
      <c r="N2" s="81"/>
      <c r="O2" s="81"/>
      <c r="P2" s="81"/>
      <c r="Q2" s="81"/>
      <c r="R2" s="73"/>
      <c r="S2" s="73"/>
      <c r="T2" s="73"/>
      <c r="U2" s="73"/>
      <c r="V2" s="73"/>
      <c r="W2" s="73"/>
      <c r="X2" s="73"/>
      <c r="Y2" s="73"/>
      <c r="Z2" s="73"/>
    </row>
    <row r="3" ht="15.75" customHeight="1">
      <c r="A3" s="82"/>
      <c r="B3" s="49"/>
      <c r="C3" s="49"/>
      <c r="D3" s="49"/>
      <c r="E3" s="47"/>
      <c r="F3" s="49"/>
      <c r="G3" s="49"/>
      <c r="H3" s="83" t="s">
        <v>133</v>
      </c>
      <c r="I3" s="84" t="s">
        <v>134</v>
      </c>
      <c r="J3" s="84" t="s">
        <v>135</v>
      </c>
      <c r="K3" s="85" t="s">
        <v>136</v>
      </c>
      <c r="L3" s="73"/>
      <c r="M3" s="73"/>
      <c r="N3" s="86" t="s">
        <v>123</v>
      </c>
      <c r="O3" s="86" t="s">
        <v>137</v>
      </c>
      <c r="P3" s="86" t="s">
        <v>138</v>
      </c>
      <c r="Q3" s="86" t="s">
        <v>126</v>
      </c>
      <c r="R3" s="73"/>
      <c r="S3" s="73"/>
      <c r="T3" s="73"/>
      <c r="U3" s="73"/>
      <c r="V3" s="73"/>
      <c r="W3" s="73"/>
      <c r="X3" s="73"/>
      <c r="Y3" s="73"/>
      <c r="Z3" s="73"/>
    </row>
    <row r="4" ht="17.25" customHeight="1">
      <c r="A4" s="87">
        <v>45692.0</v>
      </c>
      <c r="B4" s="88">
        <f>10+10</f>
        <v>20</v>
      </c>
      <c r="C4" s="88">
        <f>15+20+15-21</f>
        <v>29</v>
      </c>
      <c r="D4" s="88">
        <v>9.0</v>
      </c>
      <c r="E4" s="89">
        <v>4.0</v>
      </c>
      <c r="F4" s="90">
        <f t="shared" ref="F4:F28" si="1">B4*$N$4+C4*$O$4+D4*$P$4+E4*$Q$4</f>
        <v>3775</v>
      </c>
      <c r="G4" s="91" t="s">
        <v>139</v>
      </c>
      <c r="H4" s="92">
        <f t="shared" ref="H4:H26" si="2">F4</f>
        <v>3775</v>
      </c>
      <c r="I4" s="93">
        <f>2012+1097+1978+522</f>
        <v>5609</v>
      </c>
      <c r="J4" s="94">
        <f>133+229+3225+252+2147+1778+60+1693</f>
        <v>9517</v>
      </c>
      <c r="K4" s="95">
        <f>((J4+I4)-(H4*0.22))</f>
        <v>14295.5</v>
      </c>
      <c r="L4" s="73"/>
      <c r="M4" s="30" t="s">
        <v>140</v>
      </c>
      <c r="N4" s="96">
        <v>60.0</v>
      </c>
      <c r="O4" s="97">
        <v>60.0</v>
      </c>
      <c r="P4" s="98">
        <v>63.0</v>
      </c>
      <c r="Q4" s="99">
        <v>67.0</v>
      </c>
      <c r="R4" s="73"/>
      <c r="S4" s="73"/>
      <c r="T4" s="73"/>
      <c r="U4" s="73"/>
      <c r="V4" s="73"/>
      <c r="W4" s="73"/>
      <c r="X4" s="73"/>
      <c r="Y4" s="73"/>
      <c r="Z4" s="73"/>
    </row>
    <row r="5" ht="15.75" customHeight="1">
      <c r="A5" s="100" t="s">
        <v>141</v>
      </c>
      <c r="B5" s="101"/>
      <c r="C5" s="101"/>
      <c r="D5" s="101">
        <v>10.0</v>
      </c>
      <c r="E5" s="102">
        <v>4.0</v>
      </c>
      <c r="F5" s="90">
        <f t="shared" si="1"/>
        <v>898</v>
      </c>
      <c r="G5" s="91" t="s">
        <v>139</v>
      </c>
      <c r="H5" s="92">
        <f t="shared" si="2"/>
        <v>898</v>
      </c>
      <c r="I5" s="93"/>
      <c r="J5" s="94"/>
      <c r="K5" s="95">
        <f t="shared" ref="K5:K51" si="4">((J5+I5)-((H5+K4)*0.22))</f>
        <v>-3342.57</v>
      </c>
      <c r="L5" s="73"/>
      <c r="M5" s="30" t="s">
        <v>142</v>
      </c>
      <c r="N5" s="103">
        <f t="shared" ref="N5:Q5" si="3">N4*1.3</f>
        <v>78</v>
      </c>
      <c r="O5" s="104">
        <f t="shared" si="3"/>
        <v>78</v>
      </c>
      <c r="P5" s="104">
        <f t="shared" si="3"/>
        <v>81.9</v>
      </c>
      <c r="Q5" s="105">
        <f t="shared" si="3"/>
        <v>87.1</v>
      </c>
      <c r="R5" s="73"/>
      <c r="S5" s="73"/>
      <c r="T5" s="73"/>
      <c r="U5" s="73"/>
      <c r="V5" s="73"/>
      <c r="W5" s="73"/>
      <c r="X5" s="73"/>
      <c r="Y5" s="73"/>
      <c r="Z5" s="73"/>
    </row>
    <row r="6" ht="16.5" customHeight="1">
      <c r="A6" s="87"/>
      <c r="B6" s="101"/>
      <c r="C6" s="101">
        <v>20.0</v>
      </c>
      <c r="D6" s="101">
        <v>10.0</v>
      </c>
      <c r="E6" s="102">
        <v>10.0</v>
      </c>
      <c r="F6" s="90">
        <f t="shared" si="1"/>
        <v>2500</v>
      </c>
      <c r="G6" s="91"/>
      <c r="H6" s="92">
        <f t="shared" si="2"/>
        <v>2500</v>
      </c>
      <c r="I6" s="93"/>
      <c r="J6" s="94"/>
      <c r="K6" s="95">
        <f t="shared" si="4"/>
        <v>185.3654</v>
      </c>
      <c r="L6" s="73"/>
      <c r="M6" s="30" t="s">
        <v>143</v>
      </c>
      <c r="N6" s="106"/>
      <c r="O6" s="107"/>
      <c r="P6" s="107"/>
      <c r="Q6" s="108"/>
      <c r="R6" s="73"/>
      <c r="S6" s="73"/>
      <c r="T6" s="73"/>
      <c r="U6" s="73"/>
      <c r="V6" s="73"/>
      <c r="W6" s="73"/>
      <c r="X6" s="73"/>
      <c r="Y6" s="73"/>
      <c r="Z6" s="73"/>
    </row>
    <row r="7" ht="15.75" customHeight="1">
      <c r="A7" s="109"/>
      <c r="B7" s="101">
        <v>10.0</v>
      </c>
      <c r="C7" s="101">
        <v>19.0</v>
      </c>
      <c r="D7" s="101">
        <v>10.0</v>
      </c>
      <c r="E7" s="102"/>
      <c r="F7" s="90">
        <f t="shared" si="1"/>
        <v>2370</v>
      </c>
      <c r="G7" s="91"/>
      <c r="H7" s="93">
        <f t="shared" si="2"/>
        <v>2370</v>
      </c>
      <c r="I7" s="93"/>
      <c r="J7" s="94"/>
      <c r="K7" s="95">
        <f t="shared" si="4"/>
        <v>-562.180388</v>
      </c>
      <c r="L7" s="73"/>
      <c r="M7" s="73"/>
      <c r="O7" s="8">
        <f>(O4/2)+3</f>
        <v>33</v>
      </c>
      <c r="R7" s="73"/>
      <c r="S7" s="73"/>
      <c r="T7" s="73"/>
      <c r="U7" s="73"/>
      <c r="V7" s="73"/>
      <c r="W7" s="73"/>
      <c r="X7" s="73"/>
      <c r="Y7" s="73"/>
      <c r="Z7" s="73"/>
    </row>
    <row r="8" ht="15.75" customHeight="1">
      <c r="A8" s="109"/>
      <c r="B8" s="101">
        <v>25.0</v>
      </c>
      <c r="C8" s="101">
        <v>70.0</v>
      </c>
      <c r="D8" s="101">
        <v>30.0</v>
      </c>
      <c r="E8" s="102">
        <v>20.0</v>
      </c>
      <c r="F8" s="90">
        <f t="shared" si="1"/>
        <v>8930</v>
      </c>
      <c r="G8" s="91"/>
      <c r="H8" s="93">
        <f t="shared" si="2"/>
        <v>8930</v>
      </c>
      <c r="I8" s="93"/>
      <c r="J8" s="94"/>
      <c r="K8" s="95">
        <f t="shared" si="4"/>
        <v>-1840.920315</v>
      </c>
      <c r="L8" s="73"/>
      <c r="M8" s="73"/>
      <c r="R8" s="73"/>
      <c r="S8" s="73"/>
      <c r="T8" s="73"/>
      <c r="U8" s="73"/>
      <c r="V8" s="73"/>
      <c r="W8" s="73"/>
      <c r="X8" s="73"/>
      <c r="Y8" s="73"/>
      <c r="Z8" s="73"/>
    </row>
    <row r="9" ht="15.75" customHeight="1">
      <c r="A9" s="109">
        <v>45740.0</v>
      </c>
      <c r="B9" s="101">
        <v>27.0</v>
      </c>
      <c r="C9" s="101">
        <v>70.0</v>
      </c>
      <c r="D9" s="101">
        <v>30.0</v>
      </c>
      <c r="E9" s="102">
        <v>20.0</v>
      </c>
      <c r="F9" s="90">
        <f t="shared" si="1"/>
        <v>9050</v>
      </c>
      <c r="G9" s="91"/>
      <c r="H9" s="93">
        <f t="shared" si="2"/>
        <v>9050</v>
      </c>
      <c r="I9" s="93"/>
      <c r="J9" s="94"/>
      <c r="K9" s="95">
        <f t="shared" si="4"/>
        <v>-1585.997531</v>
      </c>
      <c r="L9" s="73"/>
      <c r="M9" s="73"/>
      <c r="R9" s="73"/>
      <c r="S9" s="73"/>
      <c r="T9" s="73"/>
      <c r="U9" s="73"/>
      <c r="V9" s="73"/>
      <c r="W9" s="73"/>
      <c r="X9" s="73"/>
      <c r="Y9" s="73"/>
      <c r="Z9" s="73"/>
    </row>
    <row r="10" ht="15.75" customHeight="1">
      <c r="A10" s="109"/>
      <c r="B10" s="101">
        <f>15+10+10</f>
        <v>35</v>
      </c>
      <c r="C10" s="101">
        <f>20+13+30+15</f>
        <v>78</v>
      </c>
      <c r="D10" s="101">
        <f>10+5+10</f>
        <v>25</v>
      </c>
      <c r="E10" s="102">
        <f>10+5+6</f>
        <v>21</v>
      </c>
      <c r="F10" s="90">
        <f t="shared" si="1"/>
        <v>9762</v>
      </c>
      <c r="G10" s="91" t="s">
        <v>144</v>
      </c>
      <c r="H10" s="93">
        <f t="shared" si="2"/>
        <v>9762</v>
      </c>
      <c r="I10" s="93"/>
      <c r="J10" s="94"/>
      <c r="K10" s="95">
        <f t="shared" si="4"/>
        <v>-1798.720543</v>
      </c>
      <c r="L10" s="73"/>
      <c r="M10" s="110" t="s">
        <v>145</v>
      </c>
      <c r="R10" s="73"/>
      <c r="S10" s="73"/>
      <c r="T10" s="73"/>
      <c r="U10" s="73"/>
      <c r="V10" s="73"/>
      <c r="W10" s="73"/>
      <c r="X10" s="73"/>
      <c r="Y10" s="73"/>
      <c r="Z10" s="73"/>
    </row>
    <row r="11" ht="15.75" customHeight="1">
      <c r="A11" s="109"/>
      <c r="B11" s="101">
        <v>35.0</v>
      </c>
      <c r="C11" s="101">
        <f>25+25+40</f>
        <v>90</v>
      </c>
      <c r="D11" s="101">
        <v>23.0</v>
      </c>
      <c r="E11" s="102">
        <v>23.0</v>
      </c>
      <c r="F11" s="90">
        <f t="shared" si="1"/>
        <v>10490</v>
      </c>
      <c r="G11" s="91" t="s">
        <v>146</v>
      </c>
      <c r="H11" s="93">
        <f t="shared" si="2"/>
        <v>10490</v>
      </c>
      <c r="I11" s="93"/>
      <c r="J11" s="94"/>
      <c r="K11" s="95">
        <f t="shared" si="4"/>
        <v>-1912.08148</v>
      </c>
      <c r="L11" s="73"/>
      <c r="M11" s="111">
        <f>10/22</f>
        <v>0.4545454545</v>
      </c>
      <c r="N11" s="73"/>
      <c r="R11" s="73"/>
      <c r="S11" s="73"/>
      <c r="T11" s="73"/>
      <c r="U11" s="73"/>
      <c r="V11" s="73"/>
      <c r="W11" s="73"/>
      <c r="X11" s="73"/>
      <c r="Y11" s="73"/>
      <c r="Z11" s="73"/>
    </row>
    <row r="12" ht="15.75" customHeight="1">
      <c r="A12" s="109"/>
      <c r="B12" s="101">
        <f>15+20</f>
        <v>35</v>
      </c>
      <c r="C12" s="101">
        <f>40+25+25</f>
        <v>90</v>
      </c>
      <c r="D12" s="101">
        <v>10.0</v>
      </c>
      <c r="E12" s="102">
        <v>15.0</v>
      </c>
      <c r="F12" s="90">
        <f t="shared" si="1"/>
        <v>9135</v>
      </c>
      <c r="G12" s="91" t="s">
        <v>147</v>
      </c>
      <c r="H12" s="93">
        <f t="shared" si="2"/>
        <v>9135</v>
      </c>
      <c r="I12" s="93">
        <f>212+2124+211+2110</f>
        <v>4657</v>
      </c>
      <c r="J12" s="94">
        <f>197+898+48+218+133+608+163</f>
        <v>2265</v>
      </c>
      <c r="K12" s="95">
        <f t="shared" si="4"/>
        <v>5332.957926</v>
      </c>
      <c r="L12" s="73"/>
      <c r="M12" s="73"/>
      <c r="N12" s="73"/>
      <c r="R12" s="73"/>
      <c r="S12" s="73"/>
      <c r="T12" s="73"/>
      <c r="U12" s="73"/>
      <c r="V12" s="73"/>
      <c r="W12" s="73"/>
      <c r="X12" s="73"/>
      <c r="Y12" s="73"/>
      <c r="Z12" s="73"/>
    </row>
    <row r="13" ht="15.75" customHeight="1">
      <c r="A13" s="109"/>
      <c r="B13" s="101">
        <v>35.0</v>
      </c>
      <c r="C13" s="101">
        <v>85.0</v>
      </c>
      <c r="D13" s="101">
        <v>10.0</v>
      </c>
      <c r="E13" s="102">
        <v>15.0</v>
      </c>
      <c r="F13" s="90">
        <f t="shared" si="1"/>
        <v>8835</v>
      </c>
      <c r="G13" s="91" t="s">
        <v>148</v>
      </c>
      <c r="H13" s="93">
        <f t="shared" si="2"/>
        <v>8835</v>
      </c>
      <c r="I13" s="93"/>
      <c r="J13" s="94"/>
      <c r="K13" s="95">
        <f t="shared" si="4"/>
        <v>-3116.950744</v>
      </c>
      <c r="L13" s="73"/>
      <c r="M13" s="73"/>
      <c r="N13" s="73"/>
      <c r="R13" s="73"/>
      <c r="S13" s="73"/>
      <c r="T13" s="73"/>
      <c r="U13" s="73"/>
      <c r="V13" s="73"/>
      <c r="W13" s="73"/>
      <c r="X13" s="73"/>
      <c r="Y13" s="73"/>
      <c r="Z13" s="73"/>
    </row>
    <row r="14" ht="15.75" customHeight="1">
      <c r="A14" s="109"/>
      <c r="B14" s="88">
        <v>10.0</v>
      </c>
      <c r="C14" s="88">
        <v>24.0</v>
      </c>
      <c r="D14" s="88">
        <v>10.0</v>
      </c>
      <c r="E14" s="89">
        <v>5.0</v>
      </c>
      <c r="F14" s="90">
        <f t="shared" si="1"/>
        <v>3005</v>
      </c>
      <c r="G14" s="91" t="s">
        <v>148</v>
      </c>
      <c r="H14" s="93">
        <f t="shared" si="2"/>
        <v>3005</v>
      </c>
      <c r="I14" s="93"/>
      <c r="J14" s="94"/>
      <c r="K14" s="95">
        <f t="shared" si="4"/>
        <v>24.6291636</v>
      </c>
      <c r="L14" s="73"/>
      <c r="M14" s="73"/>
      <c r="N14" s="73"/>
      <c r="R14" s="73"/>
      <c r="S14" s="73"/>
      <c r="T14" s="73"/>
      <c r="U14" s="73"/>
      <c r="V14" s="73"/>
      <c r="W14" s="73"/>
      <c r="X14" s="73"/>
      <c r="Y14" s="73"/>
      <c r="Z14" s="73"/>
    </row>
    <row r="15" ht="15.75" customHeight="1">
      <c r="A15" s="109"/>
      <c r="B15" s="88">
        <v>30.0</v>
      </c>
      <c r="C15" s="88">
        <v>70.0</v>
      </c>
      <c r="D15" s="88">
        <v>30.0</v>
      </c>
      <c r="E15" s="89">
        <v>20.0</v>
      </c>
      <c r="F15" s="90">
        <f t="shared" si="1"/>
        <v>9230</v>
      </c>
      <c r="G15" s="91" t="s">
        <v>149</v>
      </c>
      <c r="H15" s="93">
        <f t="shared" si="2"/>
        <v>9230</v>
      </c>
      <c r="I15" s="93"/>
      <c r="J15" s="94"/>
      <c r="K15" s="95">
        <f t="shared" si="4"/>
        <v>-2036.018416</v>
      </c>
      <c r="L15" s="73"/>
      <c r="M15" s="73"/>
      <c r="N15" s="73"/>
      <c r="R15" s="73"/>
      <c r="S15" s="73"/>
      <c r="T15" s="73"/>
      <c r="U15" s="73"/>
      <c r="V15" s="73"/>
      <c r="W15" s="73"/>
      <c r="X15" s="73"/>
      <c r="Y15" s="73"/>
      <c r="Z15" s="73"/>
    </row>
    <row r="16" ht="15.75" customHeight="1">
      <c r="A16" s="109"/>
      <c r="B16" s="88">
        <v>40.0</v>
      </c>
      <c r="C16" s="88">
        <v>60.0</v>
      </c>
      <c r="D16" s="88">
        <v>20.0</v>
      </c>
      <c r="E16" s="89">
        <v>10.0</v>
      </c>
      <c r="F16" s="90">
        <f t="shared" si="1"/>
        <v>7930</v>
      </c>
      <c r="G16" s="91" t="s">
        <v>150</v>
      </c>
      <c r="H16" s="93">
        <f t="shared" si="2"/>
        <v>7930</v>
      </c>
      <c r="I16" s="93">
        <f>1636</f>
        <v>1636</v>
      </c>
      <c r="J16" s="94">
        <f>159+738+214</f>
        <v>1111</v>
      </c>
      <c r="K16" s="95">
        <f t="shared" si="4"/>
        <v>1450.324052</v>
      </c>
      <c r="L16" s="73"/>
      <c r="M16" s="73"/>
      <c r="N16" s="73"/>
      <c r="R16" s="73"/>
      <c r="S16" s="73"/>
      <c r="T16" s="73"/>
      <c r="U16" s="73"/>
      <c r="V16" s="73"/>
      <c r="W16" s="73"/>
      <c r="X16" s="73"/>
      <c r="Y16" s="73"/>
      <c r="Z16" s="73"/>
    </row>
    <row r="17" ht="15.75" customHeight="1">
      <c r="A17" s="109"/>
      <c r="B17" s="88">
        <v>30.0</v>
      </c>
      <c r="C17" s="88">
        <v>60.0</v>
      </c>
      <c r="D17" s="88">
        <v>20.0</v>
      </c>
      <c r="E17" s="89">
        <v>10.0</v>
      </c>
      <c r="F17" s="90">
        <f t="shared" si="1"/>
        <v>7330</v>
      </c>
      <c r="G17" s="91" t="s">
        <v>151</v>
      </c>
      <c r="H17" s="93">
        <f t="shared" si="2"/>
        <v>7330</v>
      </c>
      <c r="I17" s="93">
        <f>1947</f>
        <v>1947</v>
      </c>
      <c r="J17" s="94">
        <f>160+66+243+89</f>
        <v>558</v>
      </c>
      <c r="K17" s="95">
        <f t="shared" si="4"/>
        <v>573.3287087</v>
      </c>
      <c r="L17" s="73"/>
      <c r="M17" s="73"/>
      <c r="N17" s="73"/>
      <c r="R17" s="73"/>
      <c r="S17" s="73"/>
      <c r="T17" s="73"/>
      <c r="U17" s="73"/>
      <c r="V17" s="73"/>
      <c r="W17" s="73"/>
      <c r="X17" s="73"/>
      <c r="Y17" s="73"/>
      <c r="Z17" s="73"/>
    </row>
    <row r="18" ht="15.75" customHeight="1">
      <c r="A18" s="109"/>
      <c r="B18" s="88">
        <v>60.0</v>
      </c>
      <c r="C18" s="88">
        <v>30.0</v>
      </c>
      <c r="D18" s="88">
        <v>20.0</v>
      </c>
      <c r="E18" s="89">
        <v>10.0</v>
      </c>
      <c r="F18" s="90">
        <f t="shared" si="1"/>
        <v>7330</v>
      </c>
      <c r="G18" s="91" t="s">
        <v>152</v>
      </c>
      <c r="H18" s="93">
        <f t="shared" si="2"/>
        <v>7330</v>
      </c>
      <c r="I18" s="93">
        <f>1170.29+159.81</f>
        <v>1330.1</v>
      </c>
      <c r="J18" s="94">
        <f>224.33+886.2+313.12</f>
        <v>1423.65</v>
      </c>
      <c r="K18" s="95">
        <f t="shared" si="4"/>
        <v>1015.017684</v>
      </c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5.75" customHeight="1">
      <c r="A19" s="109"/>
      <c r="B19" s="88">
        <v>30.0</v>
      </c>
      <c r="C19" s="88">
        <v>70.0</v>
      </c>
      <c r="D19" s="88">
        <v>20.0</v>
      </c>
      <c r="E19" s="89">
        <v>10.0</v>
      </c>
      <c r="F19" s="90">
        <f t="shared" si="1"/>
        <v>7930</v>
      </c>
      <c r="G19" s="112">
        <v>45811.0</v>
      </c>
      <c r="H19" s="93">
        <f t="shared" si="2"/>
        <v>7930</v>
      </c>
      <c r="I19" s="93">
        <f>1146</f>
        <v>1146</v>
      </c>
      <c r="J19" s="94">
        <f>520+41</f>
        <v>561</v>
      </c>
      <c r="K19" s="95">
        <f t="shared" si="4"/>
        <v>-260.9038905</v>
      </c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5.75" customHeight="1">
      <c r="A20" s="109"/>
      <c r="B20" s="88">
        <v>30.0</v>
      </c>
      <c r="C20" s="88">
        <v>85.0</v>
      </c>
      <c r="D20" s="88">
        <v>20.0</v>
      </c>
      <c r="E20" s="89">
        <v>20.0</v>
      </c>
      <c r="F20" s="90">
        <f t="shared" si="1"/>
        <v>9500</v>
      </c>
      <c r="G20" s="91" t="s">
        <v>153</v>
      </c>
      <c r="H20" s="93">
        <f t="shared" si="2"/>
        <v>9500</v>
      </c>
      <c r="I20" s="93"/>
      <c r="J20" s="94"/>
      <c r="K20" s="95">
        <f t="shared" si="4"/>
        <v>-2032.601144</v>
      </c>
      <c r="L20" s="73"/>
      <c r="M20" s="11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5.75" customHeight="1">
      <c r="A21" s="109">
        <v>45826.0</v>
      </c>
      <c r="B21" s="88">
        <f>30</f>
        <v>30</v>
      </c>
      <c r="C21" s="88">
        <f>35+15+15</f>
        <v>65</v>
      </c>
      <c r="D21" s="88">
        <v>20.0</v>
      </c>
      <c r="E21" s="89">
        <v>10.0</v>
      </c>
      <c r="F21" s="90">
        <f t="shared" si="1"/>
        <v>7630</v>
      </c>
      <c r="G21" s="91" t="s">
        <v>154</v>
      </c>
      <c r="H21" s="114">
        <f t="shared" si="2"/>
        <v>7630</v>
      </c>
      <c r="I21" s="101"/>
      <c r="J21" s="101">
        <f>202.04+488</f>
        <v>690.04</v>
      </c>
      <c r="K21" s="95">
        <f t="shared" si="4"/>
        <v>-541.3877483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5.75" customHeight="1">
      <c r="A22" s="109"/>
      <c r="B22" s="88">
        <v>20.0</v>
      </c>
      <c r="C22" s="88">
        <v>40.0</v>
      </c>
      <c r="D22" s="88">
        <v>20.0</v>
      </c>
      <c r="E22" s="89">
        <v>10.0</v>
      </c>
      <c r="F22" s="90">
        <f t="shared" si="1"/>
        <v>5530</v>
      </c>
      <c r="G22" s="91" t="s">
        <v>155</v>
      </c>
      <c r="H22" s="114">
        <f t="shared" si="2"/>
        <v>5530</v>
      </c>
      <c r="I22" s="101">
        <f>1059.09+351.82+1213.95++391.53</f>
        <v>3016.39</v>
      </c>
      <c r="J22" s="115">
        <f>663.73+281+325+243+99+167+203</f>
        <v>1981.73</v>
      </c>
      <c r="K22" s="95">
        <f t="shared" si="4"/>
        <v>3900.625305</v>
      </c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75" customHeight="1">
      <c r="A23" s="109">
        <v>45839.0</v>
      </c>
      <c r="B23" s="88">
        <v>10.0</v>
      </c>
      <c r="C23" s="88">
        <v>40.0</v>
      </c>
      <c r="D23" s="88">
        <v>10.0</v>
      </c>
      <c r="E23" s="89">
        <v>10.0</v>
      </c>
      <c r="F23" s="90">
        <f t="shared" si="1"/>
        <v>4300</v>
      </c>
      <c r="G23" s="116">
        <v>45839.0</v>
      </c>
      <c r="H23" s="114">
        <f t="shared" si="2"/>
        <v>4300</v>
      </c>
      <c r="I23" s="101">
        <f>1694</f>
        <v>1694</v>
      </c>
      <c r="J23" s="101">
        <f>92+800</f>
        <v>892</v>
      </c>
      <c r="K23" s="95">
        <f t="shared" si="4"/>
        <v>781.862433</v>
      </c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5.75" customHeight="1">
      <c r="A24" s="109"/>
      <c r="B24" s="88">
        <v>10.0</v>
      </c>
      <c r="C24" s="88">
        <f>15+10+10</f>
        <v>35</v>
      </c>
      <c r="D24" s="88">
        <v>10.0</v>
      </c>
      <c r="E24" s="89">
        <v>10.0</v>
      </c>
      <c r="F24" s="90">
        <f t="shared" si="1"/>
        <v>4000</v>
      </c>
      <c r="G24" s="91">
        <v>8.0</v>
      </c>
      <c r="H24" s="114">
        <f t="shared" si="2"/>
        <v>4000</v>
      </c>
      <c r="I24" s="101">
        <f>120.44</f>
        <v>120.44</v>
      </c>
      <c r="J24" s="101">
        <f>280.4+880</f>
        <v>1160.4</v>
      </c>
      <c r="K24" s="95">
        <f t="shared" si="4"/>
        <v>228.8302647</v>
      </c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5.75" customHeight="1">
      <c r="A25" s="109"/>
      <c r="B25" s="88">
        <v>5.0</v>
      </c>
      <c r="C25" s="88">
        <f>10+5+5</f>
        <v>20</v>
      </c>
      <c r="D25" s="88">
        <v>5.0</v>
      </c>
      <c r="E25" s="89">
        <v>10.0</v>
      </c>
      <c r="F25" s="90">
        <f t="shared" si="1"/>
        <v>2485</v>
      </c>
      <c r="G25" s="117">
        <v>45853.0</v>
      </c>
      <c r="H25" s="114">
        <f t="shared" si="2"/>
        <v>2485</v>
      </c>
      <c r="I25" s="101">
        <f>70+137++75+148</f>
        <v>430</v>
      </c>
      <c r="J25" s="101">
        <f>126</f>
        <v>126</v>
      </c>
      <c r="K25" s="95">
        <f t="shared" si="4"/>
        <v>-41.04265824</v>
      </c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5.75" customHeight="1">
      <c r="A26" s="109"/>
      <c r="B26" s="88">
        <v>30.0</v>
      </c>
      <c r="C26" s="88">
        <v>60.0</v>
      </c>
      <c r="D26" s="88">
        <v>20.0</v>
      </c>
      <c r="E26" s="89">
        <v>10.0</v>
      </c>
      <c r="F26" s="90">
        <f t="shared" si="1"/>
        <v>7330</v>
      </c>
      <c r="G26" s="91" t="s">
        <v>139</v>
      </c>
      <c r="H26" s="114">
        <f t="shared" si="2"/>
        <v>7330</v>
      </c>
      <c r="I26" s="101">
        <f>97.67</f>
        <v>97.67</v>
      </c>
      <c r="J26" s="101">
        <f>37+34</f>
        <v>71</v>
      </c>
      <c r="K26" s="95">
        <f t="shared" si="4"/>
        <v>-1434.900615</v>
      </c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5.75" customHeight="1">
      <c r="A27" s="109">
        <v>45873.0</v>
      </c>
      <c r="B27" s="88">
        <f>25</f>
        <v>25</v>
      </c>
      <c r="C27" s="88">
        <f>25+15+15</f>
        <v>55</v>
      </c>
      <c r="D27" s="88">
        <v>25.0</v>
      </c>
      <c r="E27" s="89">
        <v>20.0</v>
      </c>
      <c r="F27" s="90">
        <f t="shared" si="1"/>
        <v>7715</v>
      </c>
      <c r="G27" s="112">
        <v>45874.0</v>
      </c>
      <c r="H27" s="118">
        <v>7715.0</v>
      </c>
      <c r="I27" s="119">
        <f>74.79+123.68</f>
        <v>198.47</v>
      </c>
      <c r="J27" s="115">
        <f>54.82+584.52+140.16+243</f>
        <v>1022.5</v>
      </c>
      <c r="K27" s="95">
        <f t="shared" si="4"/>
        <v>-160.6518647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5.75" customHeight="1">
      <c r="A28" s="109">
        <v>45882.0</v>
      </c>
      <c r="B28" s="88">
        <f>5+5</f>
        <v>10</v>
      </c>
      <c r="C28" s="88">
        <f>15+10</f>
        <v>25</v>
      </c>
      <c r="D28" s="88">
        <v>15.0</v>
      </c>
      <c r="E28" s="89">
        <v>10.0</v>
      </c>
      <c r="F28" s="90">
        <f t="shared" si="1"/>
        <v>3715</v>
      </c>
      <c r="G28" s="91" t="s">
        <v>139</v>
      </c>
      <c r="H28" s="114">
        <f t="shared" ref="H28:H51" si="5">F28</f>
        <v>3715</v>
      </c>
      <c r="I28" s="101">
        <f>1837.15</f>
        <v>1837.15</v>
      </c>
      <c r="J28" s="101">
        <f>116.3</f>
        <v>116.3</v>
      </c>
      <c r="K28" s="95">
        <f t="shared" si="4"/>
        <v>1171.49341</v>
      </c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5.75" customHeight="1">
      <c r="A29" s="109">
        <v>45887.0</v>
      </c>
      <c r="B29" s="88">
        <v>20.0</v>
      </c>
      <c r="C29" s="88">
        <v>60.0</v>
      </c>
      <c r="D29" s="88">
        <v>30.0</v>
      </c>
      <c r="E29" s="89">
        <v>20.0</v>
      </c>
      <c r="F29" s="90">
        <f>(B29*$N$4+C29*$O$4+D29*$P$4+E29*$Q$4)-716</f>
        <v>7314</v>
      </c>
      <c r="G29" s="91" t="s">
        <v>156</v>
      </c>
      <c r="H29" s="114">
        <f t="shared" si="5"/>
        <v>7314</v>
      </c>
      <c r="I29" s="101"/>
      <c r="J29" s="101">
        <f>18.9+212.48+112.35+167.53</f>
        <v>511.26</v>
      </c>
      <c r="K29" s="95">
        <f t="shared" si="4"/>
        <v>-1355.54855</v>
      </c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5.75" customHeight="1">
      <c r="A30" s="109"/>
      <c r="B30" s="88">
        <f>20</f>
        <v>20</v>
      </c>
      <c r="C30" s="88">
        <f>60+30+20</f>
        <v>110</v>
      </c>
      <c r="D30" s="88">
        <v>25.0</v>
      </c>
      <c r="E30" s="89">
        <v>20.0</v>
      </c>
      <c r="F30" s="90">
        <f t="shared" ref="F30:F51" si="6">B30*$N$4+C30*$O$4+D30*$P$4+E30*$Q$4</f>
        <v>10715</v>
      </c>
      <c r="G30" s="91" t="s">
        <v>157</v>
      </c>
      <c r="H30" s="93">
        <f t="shared" si="5"/>
        <v>10715</v>
      </c>
      <c r="I30" s="94"/>
      <c r="J30" s="94">
        <v>243.0</v>
      </c>
      <c r="K30" s="95">
        <f t="shared" si="4"/>
        <v>-1816.079319</v>
      </c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5.75" customHeight="1">
      <c r="A31" s="109">
        <v>45902.0</v>
      </c>
      <c r="B31" s="88">
        <v>20.0</v>
      </c>
      <c r="C31" s="88">
        <f>25+30</f>
        <v>55</v>
      </c>
      <c r="D31" s="88">
        <v>30.0</v>
      </c>
      <c r="E31" s="89">
        <v>20.0</v>
      </c>
      <c r="F31" s="90">
        <f t="shared" si="6"/>
        <v>7730</v>
      </c>
      <c r="G31" s="91" t="s">
        <v>158</v>
      </c>
      <c r="H31" s="93">
        <f t="shared" si="5"/>
        <v>7730</v>
      </c>
      <c r="I31" s="93"/>
      <c r="J31" s="94">
        <v>187.0</v>
      </c>
      <c r="K31" s="95">
        <f t="shared" si="4"/>
        <v>-1114.06255</v>
      </c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5.75" customHeight="1">
      <c r="A32" s="109"/>
      <c r="B32" s="88"/>
      <c r="C32" s="88"/>
      <c r="D32" s="88"/>
      <c r="E32" s="89"/>
      <c r="F32" s="90">
        <f t="shared" si="6"/>
        <v>0</v>
      </c>
      <c r="G32" s="91"/>
      <c r="H32" s="93">
        <f t="shared" si="5"/>
        <v>0</v>
      </c>
      <c r="I32" s="93"/>
      <c r="J32" s="94">
        <v>128.9</v>
      </c>
      <c r="K32" s="95">
        <f t="shared" si="4"/>
        <v>373.993761</v>
      </c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5.75" customHeight="1">
      <c r="A33" s="109"/>
      <c r="B33" s="88"/>
      <c r="C33" s="88"/>
      <c r="D33" s="88"/>
      <c r="E33" s="89"/>
      <c r="F33" s="90">
        <f t="shared" si="6"/>
        <v>0</v>
      </c>
      <c r="G33" s="91"/>
      <c r="H33" s="93">
        <f t="shared" si="5"/>
        <v>0</v>
      </c>
      <c r="I33" s="93"/>
      <c r="J33" s="94">
        <v>112.35</v>
      </c>
      <c r="K33" s="95">
        <f t="shared" si="4"/>
        <v>30.07137259</v>
      </c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5.75" customHeight="1">
      <c r="A34" s="109"/>
      <c r="B34" s="88"/>
      <c r="C34" s="88"/>
      <c r="D34" s="88"/>
      <c r="E34" s="89"/>
      <c r="F34" s="90">
        <f t="shared" si="6"/>
        <v>0</v>
      </c>
      <c r="G34" s="91"/>
      <c r="H34" s="93">
        <f t="shared" si="5"/>
        <v>0</v>
      </c>
      <c r="I34" s="93"/>
      <c r="J34" s="94">
        <v>101.71</v>
      </c>
      <c r="K34" s="95">
        <f t="shared" si="4"/>
        <v>95.09429803</v>
      </c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5.75" customHeight="1">
      <c r="A35" s="109"/>
      <c r="B35" s="88"/>
      <c r="C35" s="88"/>
      <c r="D35" s="88"/>
      <c r="E35" s="89"/>
      <c r="F35" s="90">
        <f t="shared" si="6"/>
        <v>0</v>
      </c>
      <c r="G35" s="91"/>
      <c r="H35" s="93">
        <f t="shared" si="5"/>
        <v>0</v>
      </c>
      <c r="I35" s="93"/>
      <c r="J35" s="94">
        <v>418.85</v>
      </c>
      <c r="K35" s="95">
        <f t="shared" si="4"/>
        <v>397.9292544</v>
      </c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5.75" customHeight="1">
      <c r="A36" s="109"/>
      <c r="B36" s="88"/>
      <c r="C36" s="88"/>
      <c r="D36" s="88"/>
      <c r="E36" s="89"/>
      <c r="F36" s="90">
        <f t="shared" si="6"/>
        <v>0</v>
      </c>
      <c r="G36" s="91"/>
      <c r="H36" s="93">
        <f t="shared" si="5"/>
        <v>0</v>
      </c>
      <c r="I36" s="93"/>
      <c r="J36" s="94"/>
      <c r="K36" s="95">
        <f t="shared" si="4"/>
        <v>-87.54443598</v>
      </c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5.75" customHeight="1">
      <c r="A37" s="109"/>
      <c r="B37" s="88"/>
      <c r="C37" s="88"/>
      <c r="D37" s="88"/>
      <c r="E37" s="89"/>
      <c r="F37" s="90">
        <f t="shared" si="6"/>
        <v>0</v>
      </c>
      <c r="G37" s="91"/>
      <c r="H37" s="93">
        <f t="shared" si="5"/>
        <v>0</v>
      </c>
      <c r="I37" s="93"/>
      <c r="J37" s="94"/>
      <c r="K37" s="95">
        <f t="shared" si="4"/>
        <v>19.25977591</v>
      </c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5.75" customHeight="1">
      <c r="A38" s="109"/>
      <c r="B38" s="88"/>
      <c r="C38" s="88"/>
      <c r="D38" s="88"/>
      <c r="E38" s="89"/>
      <c r="F38" s="90">
        <f t="shared" si="6"/>
        <v>0</v>
      </c>
      <c r="G38" s="91"/>
      <c r="H38" s="93">
        <f t="shared" si="5"/>
        <v>0</v>
      </c>
      <c r="I38" s="93"/>
      <c r="J38" s="94"/>
      <c r="K38" s="95">
        <f t="shared" si="4"/>
        <v>-4.237150701</v>
      </c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5.75" customHeight="1">
      <c r="A39" s="109"/>
      <c r="B39" s="88"/>
      <c r="C39" s="88"/>
      <c r="D39" s="88"/>
      <c r="E39" s="89"/>
      <c r="F39" s="90">
        <f t="shared" si="6"/>
        <v>0</v>
      </c>
      <c r="G39" s="91"/>
      <c r="H39" s="93">
        <f t="shared" si="5"/>
        <v>0</v>
      </c>
      <c r="I39" s="93"/>
      <c r="J39" s="94"/>
      <c r="K39" s="95">
        <f t="shared" si="4"/>
        <v>0.9321731543</v>
      </c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109"/>
      <c r="B40" s="88"/>
      <c r="C40" s="88"/>
      <c r="D40" s="88"/>
      <c r="E40" s="89"/>
      <c r="F40" s="90">
        <f t="shared" si="6"/>
        <v>0</v>
      </c>
      <c r="G40" s="91"/>
      <c r="H40" s="93">
        <f t="shared" si="5"/>
        <v>0</v>
      </c>
      <c r="I40" s="93"/>
      <c r="J40" s="94"/>
      <c r="K40" s="95">
        <f t="shared" si="4"/>
        <v>-0.2050780939</v>
      </c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5.75" customHeight="1">
      <c r="A41" s="109"/>
      <c r="B41" s="88"/>
      <c r="C41" s="88"/>
      <c r="D41" s="88"/>
      <c r="E41" s="89"/>
      <c r="F41" s="90">
        <f t="shared" si="6"/>
        <v>0</v>
      </c>
      <c r="G41" s="91"/>
      <c r="H41" s="93">
        <f t="shared" si="5"/>
        <v>0</v>
      </c>
      <c r="I41" s="93"/>
      <c r="J41" s="94"/>
      <c r="K41" s="95">
        <f t="shared" si="4"/>
        <v>0.04511718067</v>
      </c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5.75" customHeight="1">
      <c r="A42" s="109"/>
      <c r="B42" s="88"/>
      <c r="C42" s="88"/>
      <c r="D42" s="88"/>
      <c r="E42" s="89"/>
      <c r="F42" s="90">
        <f t="shared" si="6"/>
        <v>0</v>
      </c>
      <c r="G42" s="91"/>
      <c r="H42" s="93">
        <f t="shared" si="5"/>
        <v>0</v>
      </c>
      <c r="I42" s="93"/>
      <c r="J42" s="94"/>
      <c r="K42" s="95">
        <f t="shared" si="4"/>
        <v>-0.009925779747</v>
      </c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5.75" customHeight="1">
      <c r="A43" s="109"/>
      <c r="B43" s="88"/>
      <c r="C43" s="88"/>
      <c r="D43" s="88"/>
      <c r="E43" s="89"/>
      <c r="F43" s="90">
        <f t="shared" si="6"/>
        <v>0</v>
      </c>
      <c r="G43" s="91"/>
      <c r="H43" s="93">
        <f t="shared" si="5"/>
        <v>0</v>
      </c>
      <c r="I43" s="93"/>
      <c r="J43" s="94"/>
      <c r="K43" s="95">
        <f t="shared" si="4"/>
        <v>0.002183671544</v>
      </c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109"/>
      <c r="B44" s="88"/>
      <c r="C44" s="88"/>
      <c r="D44" s="88"/>
      <c r="E44" s="89"/>
      <c r="F44" s="90">
        <f t="shared" si="6"/>
        <v>0</v>
      </c>
      <c r="G44" s="91"/>
      <c r="H44" s="93">
        <f t="shared" si="5"/>
        <v>0</v>
      </c>
      <c r="I44" s="93"/>
      <c r="J44" s="94"/>
      <c r="K44" s="95">
        <f t="shared" si="4"/>
        <v>-0.0004804077397</v>
      </c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109"/>
      <c r="B45" s="88"/>
      <c r="C45" s="88"/>
      <c r="D45" s="88"/>
      <c r="E45" s="89"/>
      <c r="F45" s="90">
        <f t="shared" si="6"/>
        <v>0</v>
      </c>
      <c r="G45" s="91"/>
      <c r="H45" s="93">
        <f t="shared" si="5"/>
        <v>0</v>
      </c>
      <c r="I45" s="93"/>
      <c r="J45" s="94"/>
      <c r="K45" s="95">
        <f t="shared" si="4"/>
        <v>0.0001056897027</v>
      </c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109"/>
      <c r="B46" s="88"/>
      <c r="C46" s="88"/>
      <c r="D46" s="88"/>
      <c r="E46" s="89"/>
      <c r="F46" s="90">
        <f t="shared" si="6"/>
        <v>0</v>
      </c>
      <c r="G46" s="91"/>
      <c r="H46" s="93">
        <f t="shared" si="5"/>
        <v>0</v>
      </c>
      <c r="I46" s="93"/>
      <c r="J46" s="94"/>
      <c r="K46" s="95">
        <f t="shared" si="4"/>
        <v>-0.0000232517346</v>
      </c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109"/>
      <c r="B47" s="88"/>
      <c r="C47" s="88"/>
      <c r="D47" s="88"/>
      <c r="E47" s="89"/>
      <c r="F47" s="90">
        <f t="shared" si="6"/>
        <v>0</v>
      </c>
      <c r="G47" s="91"/>
      <c r="H47" s="93">
        <f t="shared" si="5"/>
        <v>0</v>
      </c>
      <c r="I47" s="93"/>
      <c r="J47" s="94"/>
      <c r="K47" s="95">
        <f t="shared" si="4"/>
        <v>0.000005115381613</v>
      </c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109"/>
      <c r="B48" s="88"/>
      <c r="C48" s="88"/>
      <c r="D48" s="88"/>
      <c r="E48" s="89"/>
      <c r="F48" s="90">
        <f t="shared" si="6"/>
        <v>0</v>
      </c>
      <c r="G48" s="91"/>
      <c r="H48" s="93">
        <f t="shared" si="5"/>
        <v>0</v>
      </c>
      <c r="I48" s="93"/>
      <c r="J48" s="94"/>
      <c r="K48" s="95">
        <f t="shared" si="4"/>
        <v>-0.000001125383955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109"/>
      <c r="B49" s="88"/>
      <c r="C49" s="88"/>
      <c r="D49" s="88"/>
      <c r="E49" s="89"/>
      <c r="F49" s="90">
        <f t="shared" si="6"/>
        <v>0</v>
      </c>
      <c r="G49" s="91"/>
      <c r="H49" s="93">
        <f t="shared" si="5"/>
        <v>0</v>
      </c>
      <c r="I49" s="93"/>
      <c r="J49" s="94"/>
      <c r="K49" s="95">
        <f t="shared" si="4"/>
        <v>0.0000002475844701</v>
      </c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109"/>
      <c r="B50" s="88"/>
      <c r="C50" s="88"/>
      <c r="D50" s="88"/>
      <c r="E50" s="89"/>
      <c r="F50" s="90">
        <f t="shared" si="6"/>
        <v>0</v>
      </c>
      <c r="G50" s="91"/>
      <c r="H50" s="93">
        <f t="shared" si="5"/>
        <v>0</v>
      </c>
      <c r="I50" s="93"/>
      <c r="J50" s="94"/>
      <c r="K50" s="95">
        <f t="shared" si="4"/>
        <v>-0.00000005446858341</v>
      </c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109"/>
      <c r="B51" s="88"/>
      <c r="C51" s="88"/>
      <c r="D51" s="88"/>
      <c r="E51" s="89"/>
      <c r="F51" s="90">
        <f t="shared" si="6"/>
        <v>0</v>
      </c>
      <c r="G51" s="91"/>
      <c r="H51" s="93">
        <f t="shared" si="5"/>
        <v>0</v>
      </c>
      <c r="I51" s="93"/>
      <c r="J51" s="94"/>
      <c r="K51" s="95">
        <f t="shared" si="4"/>
        <v>0.00000001198308835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120"/>
      <c r="B52" s="73"/>
      <c r="C52" s="73"/>
      <c r="D52" s="73"/>
      <c r="E52" s="73"/>
      <c r="F52" s="76"/>
      <c r="G52" s="121"/>
      <c r="H52" s="73"/>
      <c r="I52" s="73"/>
      <c r="J52" s="73"/>
      <c r="K52" s="122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120"/>
      <c r="B53" s="73"/>
      <c r="C53" s="73"/>
      <c r="D53" s="73"/>
      <c r="E53" s="73"/>
      <c r="F53" s="76"/>
      <c r="G53" s="121"/>
      <c r="H53" s="73"/>
      <c r="I53" s="73"/>
      <c r="J53" s="73"/>
      <c r="K53" s="122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120"/>
      <c r="B54" s="73"/>
      <c r="C54" s="73"/>
      <c r="D54" s="73"/>
      <c r="E54" s="73"/>
      <c r="F54" s="76"/>
      <c r="G54" s="121"/>
      <c r="H54" s="73"/>
      <c r="I54" s="73"/>
      <c r="J54" s="73"/>
      <c r="K54" s="122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120"/>
      <c r="B55" s="73"/>
      <c r="C55" s="73"/>
      <c r="D55" s="73"/>
      <c r="E55" s="73"/>
      <c r="F55" s="76"/>
      <c r="G55" s="121"/>
      <c r="H55" s="73"/>
      <c r="I55" s="73"/>
      <c r="J55" s="73"/>
      <c r="K55" s="122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120"/>
      <c r="B56" s="73"/>
      <c r="C56" s="73"/>
      <c r="D56" s="73"/>
      <c r="E56" s="73"/>
      <c r="F56" s="76"/>
      <c r="G56" s="121" t="s">
        <v>159</v>
      </c>
      <c r="H56" s="73"/>
      <c r="I56" s="73"/>
      <c r="J56" s="73"/>
      <c r="K56" s="122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120"/>
      <c r="B57" s="73"/>
      <c r="C57" s="73"/>
      <c r="D57" s="73"/>
      <c r="E57" s="73"/>
      <c r="F57" s="76"/>
      <c r="G57" s="121"/>
      <c r="H57" s="73"/>
      <c r="I57" s="73"/>
      <c r="J57" s="73"/>
      <c r="K57" s="12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120"/>
      <c r="B58" s="73"/>
      <c r="C58" s="73"/>
      <c r="D58" s="73"/>
      <c r="E58" s="73"/>
      <c r="F58" s="76"/>
      <c r="G58" s="121"/>
      <c r="H58" s="73"/>
      <c r="I58" s="73"/>
      <c r="J58" s="73"/>
      <c r="K58" s="122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120"/>
      <c r="B59" s="73"/>
      <c r="C59" s="73"/>
      <c r="D59" s="73"/>
      <c r="E59" s="73"/>
      <c r="F59" s="76"/>
      <c r="G59" s="121"/>
      <c r="H59" s="73"/>
      <c r="I59" s="73"/>
      <c r="J59" s="73"/>
      <c r="K59" s="122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120"/>
      <c r="B60" s="73"/>
      <c r="C60" s="73"/>
      <c r="D60" s="73"/>
      <c r="E60" s="73"/>
      <c r="F60" s="76"/>
      <c r="G60" s="121"/>
      <c r="H60" s="73"/>
      <c r="I60" s="73"/>
      <c r="J60" s="73"/>
      <c r="K60" s="122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120"/>
      <c r="B61" s="73"/>
      <c r="C61" s="73"/>
      <c r="D61" s="73"/>
      <c r="E61" s="73"/>
      <c r="F61" s="76"/>
      <c r="G61" s="121"/>
      <c r="H61" s="73"/>
      <c r="I61" s="73"/>
      <c r="J61" s="73"/>
      <c r="K61" s="122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120"/>
      <c r="B62" s="73"/>
      <c r="C62" s="73"/>
      <c r="D62" s="73"/>
      <c r="E62" s="73"/>
      <c r="F62" s="76"/>
      <c r="G62" s="121"/>
      <c r="H62" s="73"/>
      <c r="I62" s="73"/>
      <c r="J62" s="73"/>
      <c r="K62" s="122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120"/>
      <c r="B63" s="73"/>
      <c r="C63" s="73"/>
      <c r="D63" s="73"/>
      <c r="E63" s="73"/>
      <c r="F63" s="76"/>
      <c r="G63" s="121"/>
      <c r="H63" s="73"/>
      <c r="I63" s="73"/>
      <c r="J63" s="73"/>
      <c r="K63" s="122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120"/>
      <c r="B64" s="73"/>
      <c r="C64" s="73"/>
      <c r="D64" s="73"/>
      <c r="E64" s="73"/>
      <c r="F64" s="76"/>
      <c r="G64" s="121"/>
      <c r="H64" s="73"/>
      <c r="I64" s="73"/>
      <c r="J64" s="73"/>
      <c r="K64" s="122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120"/>
      <c r="B65" s="73"/>
      <c r="C65" s="73"/>
      <c r="D65" s="73"/>
      <c r="E65" s="73"/>
      <c r="F65" s="76"/>
      <c r="G65" s="121"/>
      <c r="H65" s="73"/>
      <c r="I65" s="73"/>
      <c r="J65" s="73"/>
      <c r="K65" s="122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120"/>
      <c r="B66" s="73"/>
      <c r="C66" s="73"/>
      <c r="D66" s="73"/>
      <c r="E66" s="73"/>
      <c r="F66" s="76"/>
      <c r="G66" s="121"/>
      <c r="H66" s="73"/>
      <c r="I66" s="73"/>
      <c r="J66" s="73"/>
      <c r="K66" s="122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120"/>
      <c r="B67" s="73"/>
      <c r="C67" s="73"/>
      <c r="D67" s="73"/>
      <c r="E67" s="73"/>
      <c r="F67" s="76"/>
      <c r="G67" s="121"/>
      <c r="H67" s="73"/>
      <c r="I67" s="73"/>
      <c r="J67" s="73"/>
      <c r="K67" s="122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120"/>
      <c r="B68" s="73"/>
      <c r="C68" s="73"/>
      <c r="D68" s="73"/>
      <c r="E68" s="73"/>
      <c r="F68" s="76"/>
      <c r="G68" s="121"/>
      <c r="H68" s="73"/>
      <c r="I68" s="73"/>
      <c r="J68" s="73"/>
      <c r="K68" s="122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120"/>
      <c r="B69" s="73"/>
      <c r="C69" s="73"/>
      <c r="D69" s="73"/>
      <c r="E69" s="73"/>
      <c r="F69" s="76"/>
      <c r="G69" s="121"/>
      <c r="H69" s="73"/>
      <c r="I69" s="73"/>
      <c r="J69" s="73"/>
      <c r="K69" s="122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120"/>
      <c r="B70" s="73"/>
      <c r="C70" s="73"/>
      <c r="D70" s="73"/>
      <c r="E70" s="73"/>
      <c r="F70" s="76"/>
      <c r="G70" s="121"/>
      <c r="H70" s="73"/>
      <c r="I70" s="73"/>
      <c r="J70" s="73"/>
      <c r="K70" s="122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120"/>
      <c r="B71" s="73"/>
      <c r="C71" s="73"/>
      <c r="D71" s="73"/>
      <c r="E71" s="73"/>
      <c r="F71" s="76"/>
      <c r="G71" s="121"/>
      <c r="H71" s="73"/>
      <c r="I71" s="73"/>
      <c r="J71" s="73"/>
      <c r="K71" s="122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120"/>
      <c r="B72" s="73"/>
      <c r="C72" s="73"/>
      <c r="D72" s="73"/>
      <c r="E72" s="73"/>
      <c r="F72" s="76"/>
      <c r="G72" s="121"/>
      <c r="H72" s="73"/>
      <c r="I72" s="73"/>
      <c r="J72" s="73"/>
      <c r="K72" s="122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120"/>
      <c r="B73" s="73"/>
      <c r="C73" s="73"/>
      <c r="D73" s="73"/>
      <c r="E73" s="73"/>
      <c r="F73" s="76"/>
      <c r="G73" s="121"/>
      <c r="H73" s="73"/>
      <c r="I73" s="73"/>
      <c r="J73" s="73"/>
      <c r="K73" s="122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120"/>
      <c r="B74" s="73"/>
      <c r="C74" s="73"/>
      <c r="D74" s="73"/>
      <c r="E74" s="73"/>
      <c r="F74" s="76"/>
      <c r="G74" s="121"/>
      <c r="H74" s="73"/>
      <c r="I74" s="73"/>
      <c r="J74" s="73"/>
      <c r="K74" s="12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120"/>
      <c r="B75" s="73"/>
      <c r="C75" s="73"/>
      <c r="D75" s="73"/>
      <c r="E75" s="73"/>
      <c r="F75" s="76"/>
      <c r="G75" s="121"/>
      <c r="H75" s="73"/>
      <c r="I75" s="73"/>
      <c r="J75" s="73"/>
      <c r="K75" s="122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120"/>
      <c r="B76" s="73"/>
      <c r="C76" s="73"/>
      <c r="D76" s="73"/>
      <c r="E76" s="73"/>
      <c r="F76" s="76"/>
      <c r="G76" s="121"/>
      <c r="H76" s="73"/>
      <c r="I76" s="73"/>
      <c r="J76" s="73"/>
      <c r="K76" s="122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120"/>
      <c r="B77" s="73"/>
      <c r="C77" s="73"/>
      <c r="D77" s="73"/>
      <c r="E77" s="73"/>
      <c r="F77" s="76"/>
      <c r="G77" s="121"/>
      <c r="H77" s="73"/>
      <c r="I77" s="73"/>
      <c r="J77" s="73"/>
      <c r="K77" s="122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120"/>
      <c r="B78" s="73"/>
      <c r="C78" s="73"/>
      <c r="D78" s="73"/>
      <c r="E78" s="73"/>
      <c r="F78" s="76"/>
      <c r="G78" s="121"/>
      <c r="H78" s="73"/>
      <c r="I78" s="73"/>
      <c r="J78" s="73"/>
      <c r="K78" s="122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120"/>
      <c r="B79" s="73"/>
      <c r="C79" s="73"/>
      <c r="D79" s="73"/>
      <c r="E79" s="73"/>
      <c r="F79" s="76"/>
      <c r="G79" s="121"/>
      <c r="H79" s="73"/>
      <c r="I79" s="73"/>
      <c r="J79" s="73"/>
      <c r="K79" s="122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120"/>
      <c r="B80" s="73"/>
      <c r="C80" s="73"/>
      <c r="D80" s="73"/>
      <c r="E80" s="73"/>
      <c r="F80" s="76"/>
      <c r="G80" s="121"/>
      <c r="H80" s="73"/>
      <c r="I80" s="73"/>
      <c r="J80" s="73"/>
      <c r="K80" s="122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120"/>
      <c r="B81" s="73"/>
      <c r="C81" s="73"/>
      <c r="D81" s="73"/>
      <c r="E81" s="73"/>
      <c r="F81" s="76"/>
      <c r="G81" s="121"/>
      <c r="H81" s="73"/>
      <c r="I81" s="73"/>
      <c r="J81" s="73"/>
      <c r="K81" s="122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120"/>
      <c r="B82" s="73"/>
      <c r="C82" s="73"/>
      <c r="D82" s="73"/>
      <c r="E82" s="73"/>
      <c r="F82" s="76"/>
      <c r="G82" s="121"/>
      <c r="H82" s="73"/>
      <c r="I82" s="73"/>
      <c r="J82" s="73"/>
      <c r="K82" s="122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120"/>
      <c r="B83" s="73"/>
      <c r="C83" s="73"/>
      <c r="D83" s="73"/>
      <c r="E83" s="73"/>
      <c r="F83" s="76"/>
      <c r="G83" s="121"/>
      <c r="H83" s="73"/>
      <c r="I83" s="73"/>
      <c r="J83" s="73"/>
      <c r="K83" s="122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120"/>
      <c r="B84" s="73"/>
      <c r="C84" s="73"/>
      <c r="D84" s="73"/>
      <c r="E84" s="73"/>
      <c r="F84" s="76"/>
      <c r="G84" s="121"/>
      <c r="H84" s="73"/>
      <c r="I84" s="73"/>
      <c r="J84" s="73"/>
      <c r="K84" s="122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120"/>
      <c r="B85" s="73"/>
      <c r="C85" s="73"/>
      <c r="D85" s="73"/>
      <c r="E85" s="73"/>
      <c r="F85" s="76"/>
      <c r="G85" s="121"/>
      <c r="H85" s="73"/>
      <c r="I85" s="73"/>
      <c r="J85" s="73"/>
      <c r="K85" s="122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120"/>
      <c r="B86" s="73"/>
      <c r="C86" s="73"/>
      <c r="D86" s="73"/>
      <c r="E86" s="73"/>
      <c r="F86" s="76"/>
      <c r="G86" s="121"/>
      <c r="H86" s="73"/>
      <c r="I86" s="73"/>
      <c r="J86" s="73"/>
      <c r="K86" s="122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120"/>
      <c r="B87" s="73"/>
      <c r="C87" s="73"/>
      <c r="D87" s="73"/>
      <c r="E87" s="73"/>
      <c r="F87" s="76"/>
      <c r="G87" s="121"/>
      <c r="H87" s="73"/>
      <c r="I87" s="73"/>
      <c r="J87" s="73"/>
      <c r="K87" s="122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120"/>
      <c r="B88" s="73"/>
      <c r="C88" s="73"/>
      <c r="D88" s="73"/>
      <c r="E88" s="73"/>
      <c r="F88" s="76"/>
      <c r="G88" s="121"/>
      <c r="H88" s="73"/>
      <c r="I88" s="73"/>
      <c r="J88" s="73"/>
      <c r="K88" s="122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120"/>
      <c r="B89" s="73"/>
      <c r="C89" s="73"/>
      <c r="D89" s="73"/>
      <c r="E89" s="73"/>
      <c r="F89" s="76"/>
      <c r="G89" s="121"/>
      <c r="H89" s="73"/>
      <c r="I89" s="73"/>
      <c r="J89" s="73"/>
      <c r="K89" s="122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120"/>
      <c r="B90" s="73"/>
      <c r="C90" s="73"/>
      <c r="D90" s="73"/>
      <c r="E90" s="73"/>
      <c r="F90" s="76"/>
      <c r="G90" s="121"/>
      <c r="H90" s="73"/>
      <c r="I90" s="73"/>
      <c r="J90" s="73"/>
      <c r="K90" s="122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120"/>
      <c r="B91" s="73"/>
      <c r="C91" s="73"/>
      <c r="D91" s="73"/>
      <c r="E91" s="73"/>
      <c r="F91" s="76"/>
      <c r="G91" s="121"/>
      <c r="H91" s="73"/>
      <c r="I91" s="73"/>
      <c r="J91" s="73"/>
      <c r="K91" s="122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120"/>
      <c r="B92" s="73"/>
      <c r="C92" s="73"/>
      <c r="D92" s="73"/>
      <c r="E92" s="73"/>
      <c r="F92" s="76"/>
      <c r="G92" s="121"/>
      <c r="H92" s="73"/>
      <c r="I92" s="73"/>
      <c r="J92" s="73"/>
      <c r="K92" s="122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120"/>
      <c r="B93" s="73"/>
      <c r="C93" s="73"/>
      <c r="D93" s="73"/>
      <c r="E93" s="73"/>
      <c r="F93" s="76"/>
      <c r="G93" s="121"/>
      <c r="H93" s="73"/>
      <c r="I93" s="73"/>
      <c r="J93" s="73"/>
      <c r="K93" s="122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120"/>
      <c r="B94" s="73"/>
      <c r="C94" s="73"/>
      <c r="D94" s="73"/>
      <c r="E94" s="73"/>
      <c r="F94" s="76"/>
      <c r="G94" s="121"/>
      <c r="H94" s="73"/>
      <c r="I94" s="73"/>
      <c r="J94" s="73"/>
      <c r="K94" s="122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120"/>
      <c r="B95" s="73"/>
      <c r="C95" s="73"/>
      <c r="D95" s="73"/>
      <c r="E95" s="73"/>
      <c r="F95" s="76"/>
      <c r="G95" s="121"/>
      <c r="H95" s="73"/>
      <c r="I95" s="73"/>
      <c r="J95" s="73"/>
      <c r="K95" s="122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120"/>
      <c r="B96" s="73"/>
      <c r="C96" s="73"/>
      <c r="D96" s="73"/>
      <c r="E96" s="73"/>
      <c r="F96" s="76"/>
      <c r="G96" s="121"/>
      <c r="H96" s="73"/>
      <c r="I96" s="73"/>
      <c r="J96" s="73"/>
      <c r="K96" s="122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120"/>
      <c r="B97" s="73"/>
      <c r="C97" s="73"/>
      <c r="D97" s="73"/>
      <c r="E97" s="73"/>
      <c r="F97" s="76"/>
      <c r="G97" s="121"/>
      <c r="H97" s="73"/>
      <c r="I97" s="73"/>
      <c r="J97" s="73"/>
      <c r="K97" s="12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120"/>
      <c r="B98" s="73"/>
      <c r="C98" s="73"/>
      <c r="D98" s="73"/>
      <c r="E98" s="73"/>
      <c r="F98" s="76"/>
      <c r="G98" s="121"/>
      <c r="H98" s="73"/>
      <c r="I98" s="73"/>
      <c r="J98" s="73"/>
      <c r="K98" s="122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120"/>
      <c r="B99" s="73"/>
      <c r="C99" s="73"/>
      <c r="D99" s="73"/>
      <c r="E99" s="73"/>
      <c r="F99" s="76"/>
      <c r="G99" s="121"/>
      <c r="H99" s="73"/>
      <c r="I99" s="73"/>
      <c r="J99" s="73"/>
      <c r="K99" s="122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120"/>
      <c r="B100" s="73"/>
      <c r="C100" s="73"/>
      <c r="D100" s="73"/>
      <c r="E100" s="73"/>
      <c r="F100" s="76"/>
      <c r="G100" s="121"/>
      <c r="H100" s="73"/>
      <c r="I100" s="73"/>
      <c r="J100" s="73"/>
      <c r="K100" s="122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120"/>
      <c r="B101" s="73"/>
      <c r="C101" s="73"/>
      <c r="D101" s="73"/>
      <c r="E101" s="73"/>
      <c r="F101" s="76"/>
      <c r="G101" s="121"/>
      <c r="H101" s="73"/>
      <c r="I101" s="73"/>
      <c r="J101" s="73"/>
      <c r="K101" s="122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120"/>
      <c r="B102" s="73"/>
      <c r="C102" s="73"/>
      <c r="D102" s="73"/>
      <c r="E102" s="73"/>
      <c r="F102" s="76"/>
      <c r="G102" s="121"/>
      <c r="H102" s="73"/>
      <c r="I102" s="73"/>
      <c r="J102" s="73"/>
      <c r="K102" s="122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120"/>
      <c r="B103" s="73"/>
      <c r="C103" s="73"/>
      <c r="D103" s="73"/>
      <c r="E103" s="73"/>
      <c r="F103" s="76"/>
      <c r="G103" s="121"/>
      <c r="H103" s="73"/>
      <c r="I103" s="73"/>
      <c r="J103" s="73"/>
      <c r="K103" s="122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120"/>
      <c r="B104" s="73"/>
      <c r="C104" s="73"/>
      <c r="D104" s="73"/>
      <c r="E104" s="73"/>
      <c r="F104" s="76"/>
      <c r="G104" s="121"/>
      <c r="H104" s="73"/>
      <c r="I104" s="73"/>
      <c r="J104" s="73"/>
      <c r="K104" s="122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120"/>
      <c r="B105" s="73"/>
      <c r="C105" s="73"/>
      <c r="D105" s="73"/>
      <c r="E105" s="73"/>
      <c r="F105" s="76"/>
      <c r="G105" s="121"/>
      <c r="H105" s="73"/>
      <c r="I105" s="73"/>
      <c r="J105" s="73"/>
      <c r="K105" s="122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120"/>
      <c r="B106" s="73"/>
      <c r="C106" s="73"/>
      <c r="D106" s="73"/>
      <c r="E106" s="73"/>
      <c r="F106" s="76"/>
      <c r="G106" s="121"/>
      <c r="H106" s="73"/>
      <c r="I106" s="73"/>
      <c r="J106" s="73"/>
      <c r="K106" s="122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120"/>
      <c r="B107" s="73"/>
      <c r="C107" s="73"/>
      <c r="D107" s="73"/>
      <c r="E107" s="73"/>
      <c r="F107" s="76"/>
      <c r="G107" s="121"/>
      <c r="H107" s="73"/>
      <c r="I107" s="73"/>
      <c r="J107" s="73"/>
      <c r="K107" s="122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120"/>
      <c r="B108" s="73"/>
      <c r="C108" s="73"/>
      <c r="D108" s="73"/>
      <c r="E108" s="73"/>
      <c r="F108" s="76"/>
      <c r="G108" s="121"/>
      <c r="H108" s="73"/>
      <c r="I108" s="73"/>
      <c r="J108" s="73"/>
      <c r="K108" s="122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120"/>
      <c r="B109" s="73"/>
      <c r="C109" s="73"/>
      <c r="D109" s="73"/>
      <c r="E109" s="73"/>
      <c r="F109" s="76"/>
      <c r="G109" s="121"/>
      <c r="H109" s="73"/>
      <c r="I109" s="73"/>
      <c r="J109" s="73"/>
      <c r="K109" s="122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120"/>
      <c r="B110" s="73"/>
      <c r="C110" s="73"/>
      <c r="D110" s="73"/>
      <c r="E110" s="73"/>
      <c r="F110" s="76"/>
      <c r="G110" s="121"/>
      <c r="H110" s="73"/>
      <c r="I110" s="73"/>
      <c r="J110" s="73"/>
      <c r="K110" s="122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120"/>
      <c r="B111" s="73"/>
      <c r="C111" s="73"/>
      <c r="D111" s="73"/>
      <c r="E111" s="73"/>
      <c r="F111" s="76"/>
      <c r="G111" s="121"/>
      <c r="H111" s="73"/>
      <c r="I111" s="73"/>
      <c r="J111" s="73"/>
      <c r="K111" s="122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120"/>
      <c r="B112" s="73"/>
      <c r="C112" s="73"/>
      <c r="D112" s="73"/>
      <c r="E112" s="73"/>
      <c r="F112" s="76"/>
      <c r="G112" s="121"/>
      <c r="H112" s="73"/>
      <c r="I112" s="73"/>
      <c r="J112" s="73"/>
      <c r="K112" s="122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120"/>
      <c r="B113" s="73"/>
      <c r="C113" s="73"/>
      <c r="D113" s="73"/>
      <c r="E113" s="73"/>
      <c r="F113" s="76"/>
      <c r="G113" s="121"/>
      <c r="H113" s="73"/>
      <c r="I113" s="73"/>
      <c r="J113" s="73"/>
      <c r="K113" s="122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120"/>
      <c r="B114" s="73"/>
      <c r="C114" s="73"/>
      <c r="D114" s="73"/>
      <c r="E114" s="73"/>
      <c r="F114" s="76"/>
      <c r="G114" s="121"/>
      <c r="H114" s="73"/>
      <c r="I114" s="73"/>
      <c r="J114" s="73"/>
      <c r="K114" s="122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120"/>
      <c r="B115" s="73"/>
      <c r="C115" s="73"/>
      <c r="D115" s="73"/>
      <c r="E115" s="73"/>
      <c r="F115" s="76"/>
      <c r="G115" s="121"/>
      <c r="H115" s="73"/>
      <c r="I115" s="73"/>
      <c r="J115" s="73"/>
      <c r="K115" s="122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120"/>
      <c r="B116" s="73"/>
      <c r="C116" s="73"/>
      <c r="D116" s="73"/>
      <c r="E116" s="73"/>
      <c r="F116" s="76"/>
      <c r="G116" s="121"/>
      <c r="H116" s="73"/>
      <c r="I116" s="73"/>
      <c r="J116" s="73"/>
      <c r="K116" s="122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120"/>
      <c r="B117" s="73"/>
      <c r="C117" s="73"/>
      <c r="D117" s="73"/>
      <c r="E117" s="73"/>
      <c r="F117" s="76"/>
      <c r="G117" s="121"/>
      <c r="H117" s="73"/>
      <c r="I117" s="73"/>
      <c r="J117" s="73"/>
      <c r="K117" s="122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120"/>
      <c r="B118" s="73"/>
      <c r="C118" s="73"/>
      <c r="D118" s="73"/>
      <c r="E118" s="73"/>
      <c r="F118" s="76"/>
      <c r="G118" s="121"/>
      <c r="H118" s="73"/>
      <c r="I118" s="73"/>
      <c r="J118" s="73"/>
      <c r="K118" s="122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120"/>
      <c r="B119" s="73"/>
      <c r="C119" s="73"/>
      <c r="D119" s="73"/>
      <c r="E119" s="73"/>
      <c r="F119" s="76"/>
      <c r="G119" s="121"/>
      <c r="H119" s="73"/>
      <c r="I119" s="73"/>
      <c r="J119" s="73"/>
      <c r="K119" s="122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120"/>
      <c r="B120" s="73"/>
      <c r="C120" s="73"/>
      <c r="D120" s="73"/>
      <c r="E120" s="73"/>
      <c r="F120" s="76"/>
      <c r="G120" s="121"/>
      <c r="H120" s="73"/>
      <c r="I120" s="73"/>
      <c r="J120" s="73"/>
      <c r="K120" s="122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120"/>
      <c r="B121" s="73"/>
      <c r="C121" s="73"/>
      <c r="D121" s="73"/>
      <c r="E121" s="73"/>
      <c r="F121" s="76"/>
      <c r="G121" s="121"/>
      <c r="H121" s="73"/>
      <c r="I121" s="73"/>
      <c r="J121" s="73"/>
      <c r="K121" s="122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120"/>
      <c r="B122" s="73"/>
      <c r="C122" s="73"/>
      <c r="D122" s="73"/>
      <c r="E122" s="73"/>
      <c r="F122" s="76"/>
      <c r="G122" s="121"/>
      <c r="H122" s="73"/>
      <c r="I122" s="73"/>
      <c r="J122" s="73"/>
      <c r="K122" s="122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120"/>
      <c r="B123" s="73"/>
      <c r="C123" s="73"/>
      <c r="D123" s="73"/>
      <c r="E123" s="73"/>
      <c r="F123" s="76"/>
      <c r="G123" s="121"/>
      <c r="H123" s="73"/>
      <c r="I123" s="73"/>
      <c r="J123" s="73"/>
      <c r="K123" s="122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120"/>
      <c r="B124" s="73"/>
      <c r="C124" s="73"/>
      <c r="D124" s="73"/>
      <c r="E124" s="73"/>
      <c r="F124" s="76"/>
      <c r="G124" s="121"/>
      <c r="H124" s="73"/>
      <c r="I124" s="73"/>
      <c r="J124" s="73"/>
      <c r="K124" s="122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120"/>
      <c r="B125" s="73"/>
      <c r="C125" s="73"/>
      <c r="D125" s="73"/>
      <c r="E125" s="73"/>
      <c r="F125" s="76"/>
      <c r="G125" s="121"/>
      <c r="H125" s="73"/>
      <c r="I125" s="73"/>
      <c r="J125" s="73"/>
      <c r="K125" s="122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120"/>
      <c r="B126" s="73"/>
      <c r="C126" s="73"/>
      <c r="D126" s="73"/>
      <c r="E126" s="73"/>
      <c r="F126" s="76"/>
      <c r="G126" s="121"/>
      <c r="H126" s="73"/>
      <c r="I126" s="73"/>
      <c r="J126" s="73"/>
      <c r="K126" s="122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120"/>
      <c r="B127" s="73"/>
      <c r="C127" s="73"/>
      <c r="D127" s="73"/>
      <c r="E127" s="73"/>
      <c r="F127" s="76"/>
      <c r="G127" s="121"/>
      <c r="H127" s="73"/>
      <c r="I127" s="73"/>
      <c r="J127" s="73"/>
      <c r="K127" s="122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120"/>
      <c r="B128" s="73"/>
      <c r="C128" s="73"/>
      <c r="D128" s="73"/>
      <c r="E128" s="73"/>
      <c r="F128" s="76"/>
      <c r="G128" s="121"/>
      <c r="H128" s="73"/>
      <c r="I128" s="73"/>
      <c r="J128" s="73"/>
      <c r="K128" s="122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120"/>
      <c r="B129" s="73"/>
      <c r="C129" s="73"/>
      <c r="D129" s="73"/>
      <c r="E129" s="73"/>
      <c r="F129" s="76"/>
      <c r="G129" s="121"/>
      <c r="H129" s="73"/>
      <c r="I129" s="73"/>
      <c r="J129" s="73"/>
      <c r="K129" s="122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120"/>
      <c r="B130" s="73"/>
      <c r="C130" s="73"/>
      <c r="D130" s="73"/>
      <c r="E130" s="73"/>
      <c r="F130" s="76"/>
      <c r="G130" s="121"/>
      <c r="H130" s="73"/>
      <c r="I130" s="73"/>
      <c r="J130" s="73"/>
      <c r="K130" s="122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120"/>
      <c r="B131" s="73"/>
      <c r="C131" s="73"/>
      <c r="D131" s="73"/>
      <c r="E131" s="73"/>
      <c r="F131" s="76"/>
      <c r="G131" s="121"/>
      <c r="H131" s="73"/>
      <c r="I131" s="73"/>
      <c r="J131" s="73"/>
      <c r="K131" s="122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120"/>
      <c r="B132" s="73"/>
      <c r="C132" s="73"/>
      <c r="D132" s="73"/>
      <c r="E132" s="73"/>
      <c r="F132" s="76"/>
      <c r="G132" s="121"/>
      <c r="H132" s="73"/>
      <c r="I132" s="73"/>
      <c r="J132" s="73"/>
      <c r="K132" s="122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120"/>
      <c r="B133" s="73"/>
      <c r="C133" s="73"/>
      <c r="D133" s="73"/>
      <c r="E133" s="73"/>
      <c r="F133" s="76"/>
      <c r="G133" s="121"/>
      <c r="H133" s="73"/>
      <c r="I133" s="73"/>
      <c r="J133" s="73"/>
      <c r="K133" s="122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120"/>
      <c r="B134" s="73"/>
      <c r="C134" s="73"/>
      <c r="D134" s="73"/>
      <c r="E134" s="73"/>
      <c r="F134" s="76"/>
      <c r="G134" s="121"/>
      <c r="H134" s="73"/>
      <c r="I134" s="73"/>
      <c r="J134" s="73"/>
      <c r="K134" s="122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120"/>
      <c r="B135" s="73"/>
      <c r="C135" s="73"/>
      <c r="D135" s="73"/>
      <c r="E135" s="73"/>
      <c r="F135" s="76"/>
      <c r="G135" s="121"/>
      <c r="H135" s="73"/>
      <c r="I135" s="73"/>
      <c r="J135" s="73"/>
      <c r="K135" s="122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120"/>
      <c r="B136" s="73"/>
      <c r="C136" s="73"/>
      <c r="D136" s="73"/>
      <c r="E136" s="73"/>
      <c r="F136" s="76"/>
      <c r="G136" s="121"/>
      <c r="H136" s="73"/>
      <c r="I136" s="73"/>
      <c r="J136" s="73"/>
      <c r="K136" s="122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120"/>
      <c r="B137" s="73"/>
      <c r="C137" s="73"/>
      <c r="D137" s="73"/>
      <c r="E137" s="73"/>
      <c r="F137" s="76"/>
      <c r="G137" s="121"/>
      <c r="H137" s="73"/>
      <c r="I137" s="73"/>
      <c r="J137" s="73"/>
      <c r="K137" s="122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120"/>
      <c r="B138" s="73"/>
      <c r="C138" s="73"/>
      <c r="D138" s="73"/>
      <c r="E138" s="73"/>
      <c r="F138" s="76"/>
      <c r="G138" s="121"/>
      <c r="H138" s="73"/>
      <c r="I138" s="73"/>
      <c r="J138" s="73"/>
      <c r="K138" s="122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120"/>
      <c r="B139" s="73"/>
      <c r="C139" s="73"/>
      <c r="D139" s="73"/>
      <c r="E139" s="73"/>
      <c r="F139" s="76"/>
      <c r="G139" s="121"/>
      <c r="H139" s="73"/>
      <c r="I139" s="73"/>
      <c r="J139" s="73"/>
      <c r="K139" s="122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120"/>
      <c r="B140" s="73"/>
      <c r="C140" s="73"/>
      <c r="D140" s="73"/>
      <c r="E140" s="73"/>
      <c r="F140" s="76"/>
      <c r="G140" s="121"/>
      <c r="H140" s="73"/>
      <c r="I140" s="73"/>
      <c r="J140" s="73"/>
      <c r="K140" s="122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120"/>
      <c r="B141" s="73"/>
      <c r="C141" s="73"/>
      <c r="D141" s="73"/>
      <c r="E141" s="73"/>
      <c r="F141" s="76"/>
      <c r="G141" s="121"/>
      <c r="H141" s="73"/>
      <c r="I141" s="73"/>
      <c r="J141" s="73"/>
      <c r="K141" s="122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120"/>
      <c r="B142" s="73"/>
      <c r="C142" s="73"/>
      <c r="D142" s="73"/>
      <c r="E142" s="73"/>
      <c r="F142" s="76"/>
      <c r="G142" s="121"/>
      <c r="H142" s="73"/>
      <c r="I142" s="73"/>
      <c r="J142" s="73"/>
      <c r="K142" s="122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120"/>
      <c r="B143" s="73"/>
      <c r="C143" s="73"/>
      <c r="D143" s="73"/>
      <c r="E143" s="73"/>
      <c r="F143" s="76"/>
      <c r="G143" s="121"/>
      <c r="H143" s="73"/>
      <c r="I143" s="73"/>
      <c r="J143" s="73"/>
      <c r="K143" s="122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120"/>
      <c r="B144" s="73"/>
      <c r="C144" s="73"/>
      <c r="D144" s="73"/>
      <c r="E144" s="73"/>
      <c r="F144" s="76"/>
      <c r="G144" s="121"/>
      <c r="H144" s="73"/>
      <c r="I144" s="73"/>
      <c r="J144" s="73"/>
      <c r="K144" s="122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120"/>
      <c r="B145" s="73"/>
      <c r="C145" s="73"/>
      <c r="D145" s="73"/>
      <c r="E145" s="73"/>
      <c r="F145" s="76"/>
      <c r="G145" s="121"/>
      <c r="H145" s="73"/>
      <c r="I145" s="73"/>
      <c r="J145" s="73"/>
      <c r="K145" s="122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120"/>
      <c r="B146" s="73"/>
      <c r="C146" s="73"/>
      <c r="D146" s="73"/>
      <c r="E146" s="73"/>
      <c r="F146" s="76"/>
      <c r="G146" s="121"/>
      <c r="H146" s="73"/>
      <c r="I146" s="73"/>
      <c r="J146" s="73"/>
      <c r="K146" s="122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120"/>
      <c r="B147" s="73"/>
      <c r="C147" s="73"/>
      <c r="D147" s="73"/>
      <c r="E147" s="73"/>
      <c r="F147" s="76"/>
      <c r="G147" s="121"/>
      <c r="H147" s="73"/>
      <c r="I147" s="73"/>
      <c r="J147" s="73"/>
      <c r="K147" s="122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120"/>
      <c r="B148" s="73"/>
      <c r="C148" s="73"/>
      <c r="D148" s="73"/>
      <c r="E148" s="73"/>
      <c r="F148" s="76"/>
      <c r="G148" s="121"/>
      <c r="H148" s="73"/>
      <c r="I148" s="73"/>
      <c r="J148" s="73"/>
      <c r="K148" s="122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120"/>
      <c r="B149" s="73"/>
      <c r="C149" s="73"/>
      <c r="D149" s="73"/>
      <c r="E149" s="73"/>
      <c r="F149" s="76"/>
      <c r="G149" s="121"/>
      <c r="H149" s="73"/>
      <c r="I149" s="73"/>
      <c r="J149" s="73"/>
      <c r="K149" s="122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120"/>
      <c r="B150" s="73"/>
      <c r="C150" s="73"/>
      <c r="D150" s="73"/>
      <c r="E150" s="73"/>
      <c r="F150" s="76"/>
      <c r="G150" s="121"/>
      <c r="H150" s="73"/>
      <c r="I150" s="73"/>
      <c r="J150" s="73"/>
      <c r="K150" s="122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120"/>
      <c r="B151" s="73"/>
      <c r="C151" s="73"/>
      <c r="D151" s="73"/>
      <c r="E151" s="73"/>
      <c r="F151" s="76"/>
      <c r="G151" s="121"/>
      <c r="H151" s="73"/>
      <c r="I151" s="73"/>
      <c r="J151" s="73"/>
      <c r="K151" s="122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120"/>
      <c r="B152" s="73"/>
      <c r="C152" s="73"/>
      <c r="D152" s="73"/>
      <c r="E152" s="73"/>
      <c r="F152" s="76"/>
      <c r="G152" s="121"/>
      <c r="H152" s="73"/>
      <c r="I152" s="73"/>
      <c r="J152" s="73"/>
      <c r="K152" s="122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120"/>
      <c r="B153" s="73"/>
      <c r="C153" s="73"/>
      <c r="D153" s="73"/>
      <c r="E153" s="73"/>
      <c r="F153" s="76"/>
      <c r="G153" s="121"/>
      <c r="H153" s="73"/>
      <c r="I153" s="73"/>
      <c r="J153" s="73"/>
      <c r="K153" s="122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120"/>
      <c r="B154" s="73"/>
      <c r="C154" s="73"/>
      <c r="D154" s="73"/>
      <c r="E154" s="73"/>
      <c r="F154" s="76"/>
      <c r="G154" s="121"/>
      <c r="H154" s="73"/>
      <c r="I154" s="73"/>
      <c r="J154" s="73"/>
      <c r="K154" s="122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120"/>
      <c r="B155" s="73"/>
      <c r="C155" s="73"/>
      <c r="D155" s="73"/>
      <c r="E155" s="73"/>
      <c r="F155" s="76"/>
      <c r="G155" s="121"/>
      <c r="H155" s="73"/>
      <c r="I155" s="73"/>
      <c r="J155" s="73"/>
      <c r="K155" s="122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120"/>
      <c r="B156" s="73"/>
      <c r="C156" s="73"/>
      <c r="D156" s="73"/>
      <c r="E156" s="73"/>
      <c r="F156" s="76"/>
      <c r="G156" s="121"/>
      <c r="H156" s="73"/>
      <c r="I156" s="73"/>
      <c r="J156" s="73"/>
      <c r="K156" s="122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120"/>
      <c r="B157" s="73"/>
      <c r="C157" s="73"/>
      <c r="D157" s="73"/>
      <c r="E157" s="73"/>
      <c r="F157" s="76"/>
      <c r="G157" s="121"/>
      <c r="H157" s="73"/>
      <c r="I157" s="73"/>
      <c r="J157" s="73"/>
      <c r="K157" s="122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120"/>
      <c r="B158" s="73"/>
      <c r="C158" s="73"/>
      <c r="D158" s="73"/>
      <c r="E158" s="73"/>
      <c r="F158" s="76"/>
      <c r="G158" s="121"/>
      <c r="H158" s="73"/>
      <c r="I158" s="73"/>
      <c r="J158" s="73"/>
      <c r="K158" s="122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120"/>
      <c r="B159" s="73"/>
      <c r="C159" s="73"/>
      <c r="D159" s="73"/>
      <c r="E159" s="73"/>
      <c r="F159" s="76"/>
      <c r="G159" s="121"/>
      <c r="H159" s="73"/>
      <c r="I159" s="73"/>
      <c r="J159" s="73"/>
      <c r="K159" s="122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120"/>
      <c r="B160" s="73"/>
      <c r="C160" s="73"/>
      <c r="D160" s="73"/>
      <c r="E160" s="73"/>
      <c r="F160" s="76"/>
      <c r="G160" s="121"/>
      <c r="H160" s="73"/>
      <c r="I160" s="73"/>
      <c r="J160" s="73"/>
      <c r="K160" s="122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120"/>
      <c r="B161" s="73"/>
      <c r="C161" s="73"/>
      <c r="D161" s="73"/>
      <c r="E161" s="73"/>
      <c r="F161" s="76"/>
      <c r="G161" s="121"/>
      <c r="H161" s="73"/>
      <c r="I161" s="73"/>
      <c r="J161" s="73"/>
      <c r="K161" s="122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120"/>
      <c r="B162" s="73"/>
      <c r="C162" s="73"/>
      <c r="D162" s="73"/>
      <c r="E162" s="73"/>
      <c r="F162" s="76"/>
      <c r="G162" s="121"/>
      <c r="H162" s="73"/>
      <c r="I162" s="73"/>
      <c r="J162" s="73"/>
      <c r="K162" s="122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120"/>
      <c r="B163" s="73"/>
      <c r="C163" s="73"/>
      <c r="D163" s="73"/>
      <c r="E163" s="73"/>
      <c r="F163" s="76"/>
      <c r="G163" s="121"/>
      <c r="H163" s="73"/>
      <c r="I163" s="73"/>
      <c r="J163" s="73"/>
      <c r="K163" s="122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120"/>
      <c r="B164" s="73"/>
      <c r="C164" s="73"/>
      <c r="D164" s="73"/>
      <c r="E164" s="73"/>
      <c r="F164" s="76"/>
      <c r="G164" s="121"/>
      <c r="H164" s="73"/>
      <c r="I164" s="73"/>
      <c r="J164" s="73"/>
      <c r="K164" s="122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120"/>
      <c r="B165" s="73"/>
      <c r="C165" s="73"/>
      <c r="D165" s="73"/>
      <c r="E165" s="73"/>
      <c r="F165" s="76"/>
      <c r="G165" s="121"/>
      <c r="H165" s="73"/>
      <c r="I165" s="73"/>
      <c r="J165" s="73"/>
      <c r="K165" s="122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120"/>
      <c r="B166" s="73"/>
      <c r="C166" s="73"/>
      <c r="D166" s="73"/>
      <c r="E166" s="73"/>
      <c r="F166" s="76"/>
      <c r="G166" s="121"/>
      <c r="H166" s="73"/>
      <c r="I166" s="73"/>
      <c r="J166" s="73"/>
      <c r="K166" s="122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120"/>
      <c r="B167" s="73"/>
      <c r="C167" s="73"/>
      <c r="D167" s="73"/>
      <c r="E167" s="73"/>
      <c r="F167" s="76"/>
      <c r="G167" s="121"/>
      <c r="H167" s="73"/>
      <c r="I167" s="73"/>
      <c r="J167" s="73"/>
      <c r="K167" s="122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120"/>
      <c r="B168" s="73"/>
      <c r="C168" s="73"/>
      <c r="D168" s="73"/>
      <c r="E168" s="73"/>
      <c r="F168" s="76"/>
      <c r="G168" s="121"/>
      <c r="H168" s="73"/>
      <c r="I168" s="73"/>
      <c r="J168" s="73"/>
      <c r="K168" s="122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120"/>
      <c r="B169" s="73"/>
      <c r="C169" s="73"/>
      <c r="D169" s="73"/>
      <c r="E169" s="73"/>
      <c r="F169" s="76"/>
      <c r="G169" s="121"/>
      <c r="H169" s="73"/>
      <c r="I169" s="73"/>
      <c r="J169" s="73"/>
      <c r="K169" s="122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120"/>
      <c r="B170" s="73"/>
      <c r="C170" s="73"/>
      <c r="D170" s="73"/>
      <c r="E170" s="73"/>
      <c r="F170" s="76"/>
      <c r="G170" s="121"/>
      <c r="H170" s="73"/>
      <c r="I170" s="73"/>
      <c r="J170" s="73"/>
      <c r="K170" s="122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120"/>
      <c r="B171" s="73"/>
      <c r="C171" s="73"/>
      <c r="D171" s="73"/>
      <c r="E171" s="73"/>
      <c r="F171" s="76"/>
      <c r="G171" s="121"/>
      <c r="H171" s="73"/>
      <c r="I171" s="73"/>
      <c r="J171" s="73"/>
      <c r="K171" s="122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120"/>
      <c r="B172" s="73"/>
      <c r="C172" s="73"/>
      <c r="D172" s="73"/>
      <c r="E172" s="73"/>
      <c r="F172" s="76"/>
      <c r="G172" s="121"/>
      <c r="H172" s="73"/>
      <c r="I172" s="73"/>
      <c r="J172" s="73"/>
      <c r="K172" s="122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120"/>
      <c r="B173" s="73"/>
      <c r="C173" s="73"/>
      <c r="D173" s="73"/>
      <c r="E173" s="73"/>
      <c r="F173" s="76"/>
      <c r="G173" s="121"/>
      <c r="H173" s="73"/>
      <c r="I173" s="73"/>
      <c r="J173" s="73"/>
      <c r="K173" s="122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120"/>
      <c r="B174" s="73"/>
      <c r="C174" s="73"/>
      <c r="D174" s="73"/>
      <c r="E174" s="73"/>
      <c r="F174" s="76"/>
      <c r="G174" s="121"/>
      <c r="H174" s="73"/>
      <c r="I174" s="73"/>
      <c r="J174" s="73"/>
      <c r="K174" s="122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120"/>
      <c r="B175" s="73"/>
      <c r="C175" s="73"/>
      <c r="D175" s="73"/>
      <c r="E175" s="73"/>
      <c r="F175" s="76"/>
      <c r="G175" s="121"/>
      <c r="H175" s="73"/>
      <c r="I175" s="73"/>
      <c r="J175" s="73"/>
      <c r="K175" s="122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120"/>
      <c r="B176" s="73"/>
      <c r="C176" s="73"/>
      <c r="D176" s="73"/>
      <c r="E176" s="73"/>
      <c r="F176" s="76"/>
      <c r="G176" s="121"/>
      <c r="H176" s="73"/>
      <c r="I176" s="73"/>
      <c r="J176" s="73"/>
      <c r="K176" s="122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120"/>
      <c r="B177" s="73"/>
      <c r="C177" s="73"/>
      <c r="D177" s="73"/>
      <c r="E177" s="73"/>
      <c r="F177" s="76"/>
      <c r="G177" s="121"/>
      <c r="H177" s="73"/>
      <c r="I177" s="73"/>
      <c r="J177" s="73"/>
      <c r="K177" s="122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120"/>
      <c r="B178" s="73"/>
      <c r="C178" s="73"/>
      <c r="D178" s="73"/>
      <c r="E178" s="73"/>
      <c r="F178" s="76"/>
      <c r="G178" s="121"/>
      <c r="H178" s="73"/>
      <c r="I178" s="73"/>
      <c r="J178" s="73"/>
      <c r="K178" s="122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120"/>
      <c r="B179" s="73"/>
      <c r="C179" s="73"/>
      <c r="D179" s="73"/>
      <c r="E179" s="73"/>
      <c r="F179" s="76"/>
      <c r="G179" s="121"/>
      <c r="H179" s="73"/>
      <c r="I179" s="73"/>
      <c r="J179" s="73"/>
      <c r="K179" s="122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120"/>
      <c r="B180" s="73"/>
      <c r="C180" s="73"/>
      <c r="D180" s="73"/>
      <c r="E180" s="73"/>
      <c r="F180" s="76"/>
      <c r="G180" s="121"/>
      <c r="H180" s="73"/>
      <c r="I180" s="73"/>
      <c r="J180" s="73"/>
      <c r="K180" s="122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120"/>
      <c r="B181" s="73"/>
      <c r="C181" s="73"/>
      <c r="D181" s="73"/>
      <c r="E181" s="73"/>
      <c r="F181" s="76"/>
      <c r="G181" s="121"/>
      <c r="H181" s="73"/>
      <c r="I181" s="73"/>
      <c r="J181" s="73"/>
      <c r="K181" s="122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120"/>
      <c r="B182" s="73"/>
      <c r="C182" s="73"/>
      <c r="D182" s="73"/>
      <c r="E182" s="73"/>
      <c r="F182" s="76"/>
      <c r="G182" s="121"/>
      <c r="H182" s="73"/>
      <c r="I182" s="73"/>
      <c r="J182" s="73"/>
      <c r="K182" s="122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120"/>
      <c r="B183" s="73"/>
      <c r="C183" s="73"/>
      <c r="D183" s="73"/>
      <c r="E183" s="73"/>
      <c r="F183" s="76"/>
      <c r="G183" s="121"/>
      <c r="H183" s="73"/>
      <c r="I183" s="73"/>
      <c r="J183" s="73"/>
      <c r="K183" s="122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120"/>
      <c r="B184" s="73"/>
      <c r="C184" s="73"/>
      <c r="D184" s="73"/>
      <c r="E184" s="73"/>
      <c r="F184" s="76"/>
      <c r="G184" s="121"/>
      <c r="H184" s="73"/>
      <c r="I184" s="73"/>
      <c r="J184" s="73"/>
      <c r="K184" s="122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120"/>
      <c r="B185" s="73"/>
      <c r="C185" s="73"/>
      <c r="D185" s="73"/>
      <c r="E185" s="73"/>
      <c r="F185" s="76"/>
      <c r="G185" s="121"/>
      <c r="H185" s="73"/>
      <c r="I185" s="73"/>
      <c r="J185" s="73"/>
      <c r="K185" s="122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120"/>
      <c r="B186" s="73"/>
      <c r="C186" s="73"/>
      <c r="D186" s="73"/>
      <c r="E186" s="73"/>
      <c r="F186" s="76"/>
      <c r="G186" s="121"/>
      <c r="H186" s="73"/>
      <c r="I186" s="73"/>
      <c r="J186" s="73"/>
      <c r="K186" s="122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120"/>
      <c r="B187" s="73"/>
      <c r="C187" s="73"/>
      <c r="D187" s="73"/>
      <c r="E187" s="73"/>
      <c r="F187" s="76"/>
      <c r="G187" s="121"/>
      <c r="H187" s="73"/>
      <c r="I187" s="73"/>
      <c r="J187" s="73"/>
      <c r="K187" s="122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120"/>
      <c r="B188" s="73"/>
      <c r="C188" s="73"/>
      <c r="D188" s="73"/>
      <c r="E188" s="73"/>
      <c r="F188" s="76"/>
      <c r="G188" s="121"/>
      <c r="H188" s="73"/>
      <c r="I188" s="73"/>
      <c r="J188" s="73"/>
      <c r="K188" s="122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120"/>
      <c r="B189" s="73"/>
      <c r="C189" s="73"/>
      <c r="D189" s="73"/>
      <c r="E189" s="73"/>
      <c r="F189" s="76"/>
      <c r="G189" s="121"/>
      <c r="H189" s="73"/>
      <c r="I189" s="73"/>
      <c r="J189" s="73"/>
      <c r="K189" s="122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120"/>
      <c r="B190" s="73"/>
      <c r="C190" s="73"/>
      <c r="D190" s="73"/>
      <c r="E190" s="73"/>
      <c r="F190" s="76"/>
      <c r="G190" s="121"/>
      <c r="H190" s="73"/>
      <c r="I190" s="73"/>
      <c r="J190" s="73"/>
      <c r="K190" s="122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120"/>
      <c r="B191" s="73"/>
      <c r="C191" s="73"/>
      <c r="D191" s="73"/>
      <c r="E191" s="73"/>
      <c r="F191" s="76"/>
      <c r="G191" s="121"/>
      <c r="H191" s="73"/>
      <c r="I191" s="73"/>
      <c r="J191" s="73"/>
      <c r="K191" s="122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120"/>
      <c r="B192" s="73"/>
      <c r="C192" s="73"/>
      <c r="D192" s="73"/>
      <c r="E192" s="73"/>
      <c r="F192" s="76"/>
      <c r="G192" s="121"/>
      <c r="H192" s="73"/>
      <c r="I192" s="73"/>
      <c r="J192" s="73"/>
      <c r="K192" s="122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120"/>
      <c r="B193" s="73"/>
      <c r="C193" s="73"/>
      <c r="D193" s="73"/>
      <c r="E193" s="73"/>
      <c r="F193" s="76"/>
      <c r="G193" s="121"/>
      <c r="H193" s="73"/>
      <c r="I193" s="73"/>
      <c r="J193" s="73"/>
      <c r="K193" s="122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120"/>
      <c r="B194" s="73"/>
      <c r="C194" s="73"/>
      <c r="D194" s="73"/>
      <c r="E194" s="73"/>
      <c r="F194" s="76"/>
      <c r="G194" s="121"/>
      <c r="H194" s="73"/>
      <c r="I194" s="73"/>
      <c r="J194" s="73"/>
      <c r="K194" s="122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120"/>
      <c r="B195" s="73"/>
      <c r="C195" s="73"/>
      <c r="D195" s="73"/>
      <c r="E195" s="73"/>
      <c r="F195" s="76"/>
      <c r="G195" s="121"/>
      <c r="H195" s="73"/>
      <c r="I195" s="73"/>
      <c r="J195" s="73"/>
      <c r="K195" s="122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120"/>
      <c r="B196" s="73"/>
      <c r="C196" s="73"/>
      <c r="D196" s="73"/>
      <c r="E196" s="73"/>
      <c r="F196" s="76"/>
      <c r="G196" s="121"/>
      <c r="H196" s="73"/>
      <c r="I196" s="73"/>
      <c r="J196" s="73"/>
      <c r="K196" s="122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120"/>
      <c r="B197" s="73"/>
      <c r="C197" s="73"/>
      <c r="D197" s="73"/>
      <c r="E197" s="73"/>
      <c r="F197" s="76"/>
      <c r="G197" s="121"/>
      <c r="H197" s="73"/>
      <c r="I197" s="73"/>
      <c r="J197" s="73"/>
      <c r="K197" s="122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120"/>
      <c r="B198" s="73"/>
      <c r="C198" s="73"/>
      <c r="D198" s="73"/>
      <c r="E198" s="73"/>
      <c r="F198" s="76"/>
      <c r="G198" s="121"/>
      <c r="H198" s="73"/>
      <c r="I198" s="73"/>
      <c r="J198" s="73"/>
      <c r="K198" s="122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120"/>
      <c r="B199" s="73"/>
      <c r="C199" s="73"/>
      <c r="D199" s="73"/>
      <c r="E199" s="73"/>
      <c r="F199" s="76"/>
      <c r="G199" s="121"/>
      <c r="H199" s="73"/>
      <c r="I199" s="73"/>
      <c r="J199" s="73"/>
      <c r="K199" s="122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120"/>
      <c r="B200" s="73"/>
      <c r="C200" s="73"/>
      <c r="D200" s="73"/>
      <c r="E200" s="73"/>
      <c r="F200" s="76"/>
      <c r="G200" s="121"/>
      <c r="H200" s="73"/>
      <c r="I200" s="73"/>
      <c r="J200" s="73"/>
      <c r="K200" s="122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120"/>
      <c r="B201" s="73"/>
      <c r="C201" s="73"/>
      <c r="D201" s="73"/>
      <c r="E201" s="73"/>
      <c r="F201" s="76"/>
      <c r="G201" s="121"/>
      <c r="H201" s="73"/>
      <c r="I201" s="73"/>
      <c r="J201" s="73"/>
      <c r="K201" s="122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120"/>
      <c r="B202" s="73"/>
      <c r="C202" s="73"/>
      <c r="D202" s="73"/>
      <c r="E202" s="73"/>
      <c r="F202" s="76"/>
      <c r="G202" s="121"/>
      <c r="H202" s="73"/>
      <c r="I202" s="73"/>
      <c r="J202" s="73"/>
      <c r="K202" s="122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120"/>
      <c r="B203" s="73"/>
      <c r="C203" s="73"/>
      <c r="D203" s="73"/>
      <c r="E203" s="73"/>
      <c r="F203" s="76"/>
      <c r="G203" s="121"/>
      <c r="H203" s="73"/>
      <c r="I203" s="73"/>
      <c r="J203" s="73"/>
      <c r="K203" s="122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120"/>
      <c r="B204" s="73"/>
      <c r="C204" s="73"/>
      <c r="D204" s="73"/>
      <c r="E204" s="73"/>
      <c r="F204" s="76"/>
      <c r="G204" s="121"/>
      <c r="H204" s="73"/>
      <c r="I204" s="73"/>
      <c r="J204" s="73"/>
      <c r="K204" s="122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120"/>
      <c r="B205" s="73"/>
      <c r="C205" s="73"/>
      <c r="D205" s="73"/>
      <c r="E205" s="73"/>
      <c r="F205" s="76"/>
      <c r="G205" s="121"/>
      <c r="H205" s="73"/>
      <c r="I205" s="73"/>
      <c r="J205" s="73"/>
      <c r="K205" s="122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120"/>
      <c r="B206" s="73"/>
      <c r="C206" s="73"/>
      <c r="D206" s="73"/>
      <c r="E206" s="73"/>
      <c r="F206" s="76"/>
      <c r="G206" s="121"/>
      <c r="H206" s="73"/>
      <c r="I206" s="73"/>
      <c r="J206" s="73"/>
      <c r="K206" s="122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120"/>
      <c r="B207" s="73"/>
      <c r="C207" s="73"/>
      <c r="D207" s="73"/>
      <c r="E207" s="73"/>
      <c r="F207" s="76"/>
      <c r="G207" s="121"/>
      <c r="H207" s="73"/>
      <c r="I207" s="73"/>
      <c r="J207" s="73"/>
      <c r="K207" s="122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120"/>
      <c r="B208" s="73"/>
      <c r="C208" s="73"/>
      <c r="D208" s="73"/>
      <c r="E208" s="73"/>
      <c r="F208" s="76"/>
      <c r="G208" s="121"/>
      <c r="H208" s="73"/>
      <c r="I208" s="73"/>
      <c r="J208" s="73"/>
      <c r="K208" s="12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120"/>
      <c r="B209" s="73"/>
      <c r="C209" s="73"/>
      <c r="D209" s="73"/>
      <c r="E209" s="73"/>
      <c r="F209" s="76"/>
      <c r="G209" s="121"/>
      <c r="H209" s="73"/>
      <c r="I209" s="73"/>
      <c r="J209" s="73"/>
      <c r="K209" s="122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120"/>
      <c r="B210" s="73"/>
      <c r="C210" s="73"/>
      <c r="D210" s="73"/>
      <c r="E210" s="73"/>
      <c r="F210" s="76"/>
      <c r="G210" s="121"/>
      <c r="H210" s="73"/>
      <c r="I210" s="73"/>
      <c r="J210" s="73"/>
      <c r="K210" s="122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120"/>
      <c r="B211" s="73"/>
      <c r="C211" s="73"/>
      <c r="D211" s="73"/>
      <c r="E211" s="73"/>
      <c r="F211" s="76"/>
      <c r="G211" s="121"/>
      <c r="H211" s="73"/>
      <c r="I211" s="73"/>
      <c r="J211" s="73"/>
      <c r="K211" s="122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120"/>
      <c r="B212" s="73"/>
      <c r="C212" s="73"/>
      <c r="D212" s="73"/>
      <c r="E212" s="73"/>
      <c r="F212" s="76"/>
      <c r="G212" s="121"/>
      <c r="H212" s="73"/>
      <c r="I212" s="73"/>
      <c r="J212" s="73"/>
      <c r="K212" s="122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120"/>
      <c r="B213" s="73"/>
      <c r="C213" s="73"/>
      <c r="D213" s="73"/>
      <c r="E213" s="73"/>
      <c r="F213" s="76"/>
      <c r="G213" s="121"/>
      <c r="H213" s="73"/>
      <c r="I213" s="73"/>
      <c r="J213" s="73"/>
      <c r="K213" s="122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120"/>
      <c r="B214" s="73"/>
      <c r="C214" s="73"/>
      <c r="D214" s="73"/>
      <c r="E214" s="73"/>
      <c r="F214" s="76"/>
      <c r="G214" s="121"/>
      <c r="H214" s="73"/>
      <c r="I214" s="73"/>
      <c r="J214" s="73"/>
      <c r="K214" s="122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120"/>
      <c r="B215" s="73"/>
      <c r="C215" s="73"/>
      <c r="D215" s="73"/>
      <c r="E215" s="73"/>
      <c r="F215" s="76"/>
      <c r="G215" s="121"/>
      <c r="H215" s="73"/>
      <c r="I215" s="73"/>
      <c r="J215" s="73"/>
      <c r="K215" s="122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120"/>
      <c r="B216" s="73"/>
      <c r="C216" s="73"/>
      <c r="D216" s="73"/>
      <c r="E216" s="73"/>
      <c r="F216" s="76"/>
      <c r="G216" s="121"/>
      <c r="H216" s="73"/>
      <c r="I216" s="73"/>
      <c r="J216" s="73"/>
      <c r="K216" s="122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120"/>
      <c r="B217" s="73"/>
      <c r="C217" s="73"/>
      <c r="D217" s="73"/>
      <c r="E217" s="73"/>
      <c r="F217" s="76"/>
      <c r="G217" s="121"/>
      <c r="H217" s="73"/>
      <c r="I217" s="73"/>
      <c r="J217" s="73"/>
      <c r="K217" s="122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120"/>
      <c r="B218" s="73"/>
      <c r="C218" s="73"/>
      <c r="D218" s="73"/>
      <c r="E218" s="73"/>
      <c r="F218" s="76"/>
      <c r="G218" s="121"/>
      <c r="H218" s="73"/>
      <c r="I218" s="73"/>
      <c r="J218" s="73"/>
      <c r="K218" s="122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120"/>
      <c r="B219" s="73"/>
      <c r="C219" s="73"/>
      <c r="D219" s="73"/>
      <c r="E219" s="73"/>
      <c r="F219" s="76"/>
      <c r="G219" s="121"/>
      <c r="H219" s="73"/>
      <c r="I219" s="73"/>
      <c r="J219" s="73"/>
      <c r="K219" s="122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120"/>
      <c r="B220" s="73"/>
      <c r="C220" s="73"/>
      <c r="D220" s="73"/>
      <c r="E220" s="73"/>
      <c r="F220" s="76"/>
      <c r="G220" s="121"/>
      <c r="H220" s="73"/>
      <c r="I220" s="73"/>
      <c r="J220" s="73"/>
      <c r="K220" s="122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120"/>
      <c r="B221" s="73"/>
      <c r="C221" s="73"/>
      <c r="D221" s="73"/>
      <c r="E221" s="73"/>
      <c r="F221" s="76"/>
      <c r="G221" s="121"/>
      <c r="H221" s="73"/>
      <c r="I221" s="73"/>
      <c r="J221" s="73"/>
      <c r="K221" s="122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120"/>
      <c r="B222" s="73"/>
      <c r="C222" s="73"/>
      <c r="D222" s="73"/>
      <c r="E222" s="73"/>
      <c r="F222" s="76"/>
      <c r="G222" s="121"/>
      <c r="H222" s="73"/>
      <c r="I222" s="73"/>
      <c r="J222" s="73"/>
      <c r="K222" s="122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120"/>
      <c r="B223" s="73"/>
      <c r="C223" s="73"/>
      <c r="D223" s="73"/>
      <c r="E223" s="73"/>
      <c r="F223" s="76"/>
      <c r="G223" s="121"/>
      <c r="H223" s="73"/>
      <c r="I223" s="73"/>
      <c r="J223" s="73"/>
      <c r="K223" s="122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120"/>
      <c r="B224" s="73"/>
      <c r="C224" s="73"/>
      <c r="D224" s="73"/>
      <c r="E224" s="73"/>
      <c r="F224" s="76"/>
      <c r="G224" s="121"/>
      <c r="H224" s="73"/>
      <c r="I224" s="73"/>
      <c r="J224" s="73"/>
      <c r="K224" s="122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120"/>
      <c r="B225" s="73"/>
      <c r="C225" s="73"/>
      <c r="D225" s="73"/>
      <c r="E225" s="73"/>
      <c r="F225" s="76"/>
      <c r="G225" s="121"/>
      <c r="H225" s="73"/>
      <c r="I225" s="73"/>
      <c r="J225" s="73"/>
      <c r="K225" s="122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120"/>
      <c r="B226" s="73"/>
      <c r="C226" s="73"/>
      <c r="D226" s="73"/>
      <c r="E226" s="73"/>
      <c r="F226" s="76"/>
      <c r="G226" s="121"/>
      <c r="H226" s="73"/>
      <c r="I226" s="73"/>
      <c r="J226" s="73"/>
      <c r="K226" s="122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120"/>
      <c r="B227" s="73"/>
      <c r="C227" s="73"/>
      <c r="D227" s="73"/>
      <c r="E227" s="73"/>
      <c r="F227" s="76"/>
      <c r="G227" s="121"/>
      <c r="H227" s="73"/>
      <c r="I227" s="73"/>
      <c r="J227" s="73"/>
      <c r="K227" s="122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120"/>
      <c r="B228" s="73"/>
      <c r="C228" s="73"/>
      <c r="D228" s="73"/>
      <c r="E228" s="73"/>
      <c r="F228" s="76"/>
      <c r="G228" s="121"/>
      <c r="H228" s="73"/>
      <c r="I228" s="73"/>
      <c r="J228" s="73"/>
      <c r="K228" s="122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120"/>
      <c r="B229" s="73"/>
      <c r="C229" s="73"/>
      <c r="D229" s="73"/>
      <c r="E229" s="73"/>
      <c r="F229" s="76"/>
      <c r="G229" s="121"/>
      <c r="H229" s="73"/>
      <c r="I229" s="73"/>
      <c r="J229" s="73"/>
      <c r="K229" s="122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120"/>
      <c r="B230" s="73"/>
      <c r="C230" s="73"/>
      <c r="D230" s="73"/>
      <c r="E230" s="73"/>
      <c r="F230" s="76"/>
      <c r="G230" s="121"/>
      <c r="H230" s="73"/>
      <c r="I230" s="73"/>
      <c r="J230" s="73"/>
      <c r="K230" s="122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120"/>
      <c r="B231" s="73"/>
      <c r="C231" s="73"/>
      <c r="D231" s="73"/>
      <c r="E231" s="73"/>
      <c r="F231" s="76"/>
      <c r="G231" s="121"/>
      <c r="H231" s="73"/>
      <c r="I231" s="73"/>
      <c r="J231" s="73"/>
      <c r="K231" s="122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120"/>
      <c r="B232" s="73"/>
      <c r="C232" s="73"/>
      <c r="D232" s="73"/>
      <c r="E232" s="73"/>
      <c r="F232" s="76"/>
      <c r="G232" s="121"/>
      <c r="H232" s="73"/>
      <c r="I232" s="73"/>
      <c r="J232" s="73"/>
      <c r="K232" s="122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120"/>
      <c r="B233" s="73"/>
      <c r="C233" s="73"/>
      <c r="D233" s="73"/>
      <c r="E233" s="73"/>
      <c r="F233" s="76"/>
      <c r="G233" s="121"/>
      <c r="H233" s="73"/>
      <c r="I233" s="73"/>
      <c r="J233" s="73"/>
      <c r="K233" s="122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120"/>
      <c r="B234" s="73"/>
      <c r="C234" s="73"/>
      <c r="D234" s="73"/>
      <c r="E234" s="73"/>
      <c r="F234" s="76"/>
      <c r="G234" s="121"/>
      <c r="H234" s="73"/>
      <c r="I234" s="73"/>
      <c r="J234" s="73"/>
      <c r="K234" s="122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120"/>
      <c r="B235" s="73"/>
      <c r="C235" s="73"/>
      <c r="D235" s="73"/>
      <c r="E235" s="73"/>
      <c r="F235" s="76"/>
      <c r="G235" s="121"/>
      <c r="H235" s="73"/>
      <c r="I235" s="73"/>
      <c r="J235" s="73"/>
      <c r="K235" s="12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120"/>
      <c r="B236" s="73"/>
      <c r="C236" s="73"/>
      <c r="D236" s="73"/>
      <c r="E236" s="73"/>
      <c r="F236" s="76"/>
      <c r="G236" s="121"/>
      <c r="H236" s="73"/>
      <c r="I236" s="73"/>
      <c r="J236" s="73"/>
      <c r="K236" s="122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120"/>
      <c r="B237" s="73"/>
      <c r="C237" s="73"/>
      <c r="D237" s="73"/>
      <c r="E237" s="73"/>
      <c r="F237" s="76"/>
      <c r="G237" s="121"/>
      <c r="H237" s="73"/>
      <c r="I237" s="73"/>
      <c r="J237" s="73"/>
      <c r="K237" s="122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120"/>
      <c r="B238" s="73"/>
      <c r="C238" s="73"/>
      <c r="D238" s="73"/>
      <c r="E238" s="73"/>
      <c r="F238" s="76"/>
      <c r="G238" s="121"/>
      <c r="H238" s="73"/>
      <c r="I238" s="73"/>
      <c r="J238" s="73"/>
      <c r="K238" s="122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120"/>
      <c r="B239" s="73"/>
      <c r="C239" s="73"/>
      <c r="D239" s="73"/>
      <c r="E239" s="73"/>
      <c r="F239" s="76"/>
      <c r="G239" s="121"/>
      <c r="H239" s="73"/>
      <c r="I239" s="73"/>
      <c r="J239" s="73"/>
      <c r="K239" s="122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120"/>
      <c r="B240" s="73"/>
      <c r="C240" s="73"/>
      <c r="D240" s="73"/>
      <c r="E240" s="73"/>
      <c r="F240" s="76"/>
      <c r="G240" s="121"/>
      <c r="H240" s="73"/>
      <c r="I240" s="73"/>
      <c r="J240" s="73"/>
      <c r="K240" s="122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120"/>
      <c r="B241" s="73"/>
      <c r="C241" s="73"/>
      <c r="D241" s="73"/>
      <c r="E241" s="73"/>
      <c r="F241" s="76"/>
      <c r="G241" s="121"/>
      <c r="H241" s="73"/>
      <c r="I241" s="73"/>
      <c r="J241" s="73"/>
      <c r="K241" s="122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120"/>
      <c r="B242" s="73"/>
      <c r="C242" s="73"/>
      <c r="D242" s="73"/>
      <c r="E242" s="73"/>
      <c r="F242" s="76"/>
      <c r="G242" s="121"/>
      <c r="H242" s="73"/>
      <c r="I242" s="73"/>
      <c r="J242" s="73"/>
      <c r="K242" s="122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120"/>
      <c r="B243" s="73"/>
      <c r="C243" s="73"/>
      <c r="D243" s="73"/>
      <c r="E243" s="73"/>
      <c r="F243" s="76"/>
      <c r="G243" s="121"/>
      <c r="H243" s="73"/>
      <c r="I243" s="73"/>
      <c r="J243" s="73"/>
      <c r="K243" s="122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120"/>
      <c r="B244" s="73"/>
      <c r="C244" s="73"/>
      <c r="D244" s="73"/>
      <c r="E244" s="73"/>
      <c r="F244" s="76"/>
      <c r="G244" s="121"/>
      <c r="H244" s="73"/>
      <c r="I244" s="73"/>
      <c r="J244" s="73"/>
      <c r="K244" s="122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120"/>
      <c r="B245" s="73"/>
      <c r="C245" s="73"/>
      <c r="D245" s="73"/>
      <c r="E245" s="73"/>
      <c r="F245" s="76"/>
      <c r="G245" s="121"/>
      <c r="H245" s="73"/>
      <c r="I245" s="73"/>
      <c r="J245" s="73"/>
      <c r="K245" s="122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120"/>
      <c r="B246" s="73"/>
      <c r="C246" s="73"/>
      <c r="D246" s="73"/>
      <c r="E246" s="73"/>
      <c r="F246" s="76"/>
      <c r="G246" s="121"/>
      <c r="H246" s="73"/>
      <c r="I246" s="73"/>
      <c r="J246" s="73"/>
      <c r="K246" s="122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120"/>
      <c r="B247" s="73"/>
      <c r="C247" s="73"/>
      <c r="D247" s="73"/>
      <c r="E247" s="73"/>
      <c r="F247" s="76"/>
      <c r="G247" s="121"/>
      <c r="H247" s="73"/>
      <c r="I247" s="73"/>
      <c r="J247" s="73"/>
      <c r="K247" s="122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120"/>
      <c r="B248" s="73"/>
      <c r="C248" s="73"/>
      <c r="D248" s="73"/>
      <c r="E248" s="73"/>
      <c r="F248" s="76"/>
      <c r="G248" s="121"/>
      <c r="H248" s="73"/>
      <c r="I248" s="73"/>
      <c r="J248" s="73"/>
      <c r="K248" s="122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120"/>
      <c r="B249" s="73"/>
      <c r="C249" s="73"/>
      <c r="D249" s="73"/>
      <c r="E249" s="73"/>
      <c r="F249" s="76"/>
      <c r="G249" s="121"/>
      <c r="H249" s="73"/>
      <c r="I249" s="73"/>
      <c r="J249" s="73"/>
      <c r="K249" s="122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120"/>
      <c r="B250" s="73"/>
      <c r="C250" s="73"/>
      <c r="D250" s="73"/>
      <c r="E250" s="73"/>
      <c r="F250" s="76"/>
      <c r="G250" s="121"/>
      <c r="H250" s="73"/>
      <c r="I250" s="73"/>
      <c r="J250" s="73"/>
      <c r="K250" s="122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120"/>
      <c r="B251" s="73"/>
      <c r="C251" s="73"/>
      <c r="D251" s="73"/>
      <c r="E251" s="73"/>
      <c r="F251" s="76"/>
      <c r="G251" s="121"/>
      <c r="H251" s="73"/>
      <c r="I251" s="73"/>
      <c r="J251" s="73"/>
      <c r="K251" s="122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120"/>
      <c r="B252" s="73"/>
      <c r="C252" s="73"/>
      <c r="D252" s="73"/>
      <c r="E252" s="73"/>
      <c r="F252" s="76"/>
      <c r="G252" s="121"/>
      <c r="H252" s="73"/>
      <c r="I252" s="73"/>
      <c r="J252" s="73"/>
      <c r="K252" s="122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120"/>
      <c r="B253" s="73"/>
      <c r="C253" s="73"/>
      <c r="D253" s="73"/>
      <c r="E253" s="73"/>
      <c r="F253" s="76"/>
      <c r="G253" s="121"/>
      <c r="H253" s="73"/>
      <c r="I253" s="73"/>
      <c r="J253" s="73"/>
      <c r="K253" s="122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120"/>
      <c r="B254" s="73"/>
      <c r="C254" s="73"/>
      <c r="D254" s="73"/>
      <c r="E254" s="73"/>
      <c r="F254" s="76"/>
      <c r="G254" s="121"/>
      <c r="H254" s="73"/>
      <c r="I254" s="73"/>
      <c r="J254" s="73"/>
      <c r="K254" s="122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120"/>
      <c r="B255" s="73"/>
      <c r="C255" s="73"/>
      <c r="D255" s="73"/>
      <c r="E255" s="73"/>
      <c r="F255" s="76"/>
      <c r="G255" s="121"/>
      <c r="H255" s="73"/>
      <c r="I255" s="73"/>
      <c r="J255" s="73"/>
      <c r="K255" s="122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120"/>
      <c r="B256" s="73"/>
      <c r="C256" s="73"/>
      <c r="D256" s="73"/>
      <c r="E256" s="73"/>
      <c r="F256" s="76"/>
      <c r="G256" s="121"/>
      <c r="H256" s="73"/>
      <c r="I256" s="73"/>
      <c r="J256" s="73"/>
      <c r="K256" s="122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2:E3"/>
    <mergeCell ref="F2:F3"/>
    <mergeCell ref="A1:A3"/>
    <mergeCell ref="B1:E1"/>
    <mergeCell ref="F1:G1"/>
    <mergeCell ref="H1:K1"/>
    <mergeCell ref="B2:B3"/>
    <mergeCell ref="C2:C3"/>
    <mergeCell ref="D2:D3"/>
    <mergeCell ref="G2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21" max="21" width="3.0"/>
    <col customWidth="1" min="22" max="22" width="18.13"/>
  </cols>
  <sheetData>
    <row r="1" ht="15.75" customHeight="1">
      <c r="A1" s="123" t="s">
        <v>160</v>
      </c>
      <c r="B1" s="124" t="s">
        <v>161</v>
      </c>
      <c r="C1" s="125" t="s">
        <v>162</v>
      </c>
      <c r="D1" s="125" t="s">
        <v>163</v>
      </c>
      <c r="E1" s="125" t="s">
        <v>164</v>
      </c>
      <c r="F1" s="125" t="s">
        <v>165</v>
      </c>
      <c r="G1" s="125" t="s">
        <v>166</v>
      </c>
      <c r="H1" s="125" t="s">
        <v>167</v>
      </c>
      <c r="I1" s="125" t="s">
        <v>168</v>
      </c>
      <c r="J1" s="125" t="s">
        <v>169</v>
      </c>
      <c r="K1" s="125" t="s">
        <v>170</v>
      </c>
      <c r="L1" s="125" t="s">
        <v>171</v>
      </c>
      <c r="M1" s="125" t="s">
        <v>172</v>
      </c>
      <c r="N1" s="126" t="s">
        <v>173</v>
      </c>
      <c r="O1" s="127" t="s">
        <v>127</v>
      </c>
      <c r="P1" s="128" t="s">
        <v>128</v>
      </c>
      <c r="Q1" s="129" t="s">
        <v>174</v>
      </c>
      <c r="R1" s="84" t="s">
        <v>133</v>
      </c>
      <c r="S1" s="84" t="s">
        <v>175</v>
      </c>
      <c r="T1" s="84" t="s">
        <v>136</v>
      </c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ht="15.75" customHeight="1">
      <c r="A2" s="130">
        <v>45709.0</v>
      </c>
      <c r="B2" s="131">
        <v>1.0</v>
      </c>
      <c r="C2" s="132">
        <v>1.0</v>
      </c>
      <c r="D2" s="132"/>
      <c r="E2" s="132">
        <v>1.0</v>
      </c>
      <c r="F2" s="132">
        <v>1.0</v>
      </c>
      <c r="G2" s="132"/>
      <c r="H2" s="132">
        <v>1.0</v>
      </c>
      <c r="I2" s="132">
        <v>1.0</v>
      </c>
      <c r="J2" s="132"/>
      <c r="K2" s="132">
        <v>1.0</v>
      </c>
      <c r="L2" s="132"/>
      <c r="M2" s="132"/>
      <c r="N2" s="133"/>
      <c r="O2" s="134">
        <f t="shared" ref="O2:O44" si="1">B2*$W$5+C2*$W$6+D2*$W$7+E2*$W$8+F2*$W$9+G2*$W$10+H2*$W$11+I2*$W$12+J2*$W$13+K2*$W$14+L2*$W$15+M2*$W$16+N2</f>
        <v>4237</v>
      </c>
      <c r="P2" s="135"/>
      <c r="Q2" s="102"/>
      <c r="R2" s="136">
        <f t="shared" ref="R2:R46" si="2">O2</f>
        <v>4237</v>
      </c>
      <c r="S2" s="101">
        <f>1817</f>
        <v>1817</v>
      </c>
      <c r="T2" s="137">
        <f>R2-S2</f>
        <v>2420</v>
      </c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</row>
    <row r="3" ht="15.75" customHeight="1">
      <c r="A3" s="130">
        <v>45747.0</v>
      </c>
      <c r="B3" s="131">
        <v>1.0</v>
      </c>
      <c r="C3" s="132">
        <v>4.0</v>
      </c>
      <c r="D3" s="132">
        <v>6.0</v>
      </c>
      <c r="E3" s="132">
        <v>4.0</v>
      </c>
      <c r="F3" s="132">
        <v>4.0</v>
      </c>
      <c r="G3" s="132">
        <v>2.0</v>
      </c>
      <c r="H3" s="132"/>
      <c r="I3" s="132"/>
      <c r="J3" s="132">
        <v>1.0</v>
      </c>
      <c r="K3" s="132">
        <v>2.0</v>
      </c>
      <c r="L3" s="132"/>
      <c r="M3" s="132"/>
      <c r="N3" s="133"/>
      <c r="O3" s="134">
        <f t="shared" si="1"/>
        <v>9694</v>
      </c>
      <c r="P3" s="135"/>
      <c r="Q3" s="102"/>
      <c r="R3" s="136">
        <f t="shared" si="2"/>
        <v>9694</v>
      </c>
      <c r="S3" s="101">
        <v>969.0</v>
      </c>
      <c r="T3" s="137">
        <f t="shared" ref="T3:T46" si="3">(T2+R3)-S3</f>
        <v>11145</v>
      </c>
      <c r="U3" s="73"/>
      <c r="V3" s="138" t="s">
        <v>94</v>
      </c>
      <c r="W3" s="138" t="s">
        <v>95</v>
      </c>
      <c r="X3" s="138" t="s">
        <v>96</v>
      </c>
      <c r="Y3" s="138" t="s">
        <v>97</v>
      </c>
      <c r="Z3" s="139" t="s">
        <v>176</v>
      </c>
      <c r="AA3" s="140" t="s">
        <v>177</v>
      </c>
      <c r="AB3" s="73"/>
      <c r="AC3" s="73"/>
      <c r="AD3" s="73"/>
      <c r="AE3" s="73"/>
      <c r="AF3" s="73"/>
      <c r="AG3" s="73"/>
    </row>
    <row r="4" ht="15.75" customHeight="1">
      <c r="A4" s="130">
        <v>45873.0</v>
      </c>
      <c r="B4" s="131">
        <v>1.0</v>
      </c>
      <c r="C4" s="132">
        <v>2.0</v>
      </c>
      <c r="D4" s="132"/>
      <c r="E4" s="132">
        <v>2.0</v>
      </c>
      <c r="F4" s="132">
        <v>1.0</v>
      </c>
      <c r="G4" s="132"/>
      <c r="H4" s="132">
        <v>1.0</v>
      </c>
      <c r="I4" s="132"/>
      <c r="J4" s="132"/>
      <c r="K4" s="132">
        <v>1.0</v>
      </c>
      <c r="L4" s="132"/>
      <c r="M4" s="132"/>
      <c r="N4" s="133"/>
      <c r="O4" s="134">
        <f t="shared" si="1"/>
        <v>4917</v>
      </c>
      <c r="P4" s="135" t="s">
        <v>139</v>
      </c>
      <c r="Q4" s="141">
        <v>45873.0</v>
      </c>
      <c r="R4" s="136">
        <f t="shared" si="2"/>
        <v>4917</v>
      </c>
      <c r="S4" s="101">
        <f>206.11+56.98+578.85</f>
        <v>841.94</v>
      </c>
      <c r="T4" s="137">
        <f t="shared" si="3"/>
        <v>15220.06</v>
      </c>
      <c r="U4" s="73"/>
      <c r="V4" s="16"/>
      <c r="W4" s="16"/>
      <c r="X4" s="16"/>
      <c r="Y4" s="16"/>
      <c r="Z4" s="16"/>
      <c r="AA4" s="16"/>
      <c r="AB4" s="73"/>
      <c r="AC4" s="73"/>
      <c r="AD4" s="73"/>
      <c r="AE4" s="73"/>
      <c r="AF4" s="73"/>
      <c r="AG4" s="73"/>
    </row>
    <row r="5" ht="15.75" customHeight="1">
      <c r="A5" s="130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4"/>
      <c r="O5" s="134">
        <f t="shared" si="1"/>
        <v>0</v>
      </c>
      <c r="P5" s="135"/>
      <c r="Q5" s="102"/>
      <c r="R5" s="136">
        <f t="shared" si="2"/>
        <v>0</v>
      </c>
      <c r="S5" s="101">
        <f>1486+269.05+7355.56</f>
        <v>9110.61</v>
      </c>
      <c r="T5" s="137">
        <f t="shared" si="3"/>
        <v>6109.45</v>
      </c>
      <c r="U5" s="73"/>
      <c r="V5" s="86" t="s">
        <v>178</v>
      </c>
      <c r="W5" s="30">
        <v>624.0</v>
      </c>
      <c r="X5" s="30">
        <f>W5/20</f>
        <v>31.2</v>
      </c>
      <c r="Y5" s="30">
        <f t="shared" ref="Y5:Y16" si="4">X5*1.3</f>
        <v>40.56</v>
      </c>
      <c r="Z5" s="26">
        <v>40.0</v>
      </c>
      <c r="AA5" s="145">
        <v>40.0</v>
      </c>
      <c r="AB5" s="73"/>
      <c r="AC5" s="73"/>
      <c r="AD5" s="73"/>
      <c r="AE5" s="73"/>
      <c r="AF5" s="73"/>
      <c r="AG5" s="73"/>
    </row>
    <row r="6" ht="15.75" customHeight="1">
      <c r="A6" s="130"/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8"/>
      <c r="O6" s="134">
        <f t="shared" si="1"/>
        <v>0</v>
      </c>
      <c r="P6" s="135"/>
      <c r="Q6" s="102"/>
      <c r="R6" s="136">
        <f t="shared" si="2"/>
        <v>0</v>
      </c>
      <c r="S6" s="8">
        <f>784*7+1314.23</f>
        <v>6802.23</v>
      </c>
      <c r="T6" s="137">
        <f t="shared" si="3"/>
        <v>-692.78</v>
      </c>
      <c r="U6" s="73"/>
      <c r="V6" s="86" t="s">
        <v>179</v>
      </c>
      <c r="W6" s="30">
        <v>540.0</v>
      </c>
      <c r="X6" s="30">
        <f>W6/12</f>
        <v>45</v>
      </c>
      <c r="Y6" s="30">
        <f t="shared" si="4"/>
        <v>58.5</v>
      </c>
      <c r="Z6" s="26">
        <v>60.0</v>
      </c>
      <c r="AA6" s="145">
        <v>60.0</v>
      </c>
      <c r="AB6" s="73"/>
      <c r="AC6" s="73"/>
      <c r="AD6" s="73"/>
      <c r="AE6" s="73"/>
      <c r="AF6" s="73"/>
      <c r="AG6" s="73"/>
    </row>
    <row r="7" ht="15.75" customHeight="1">
      <c r="A7" s="149"/>
      <c r="B7" s="142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4"/>
      <c r="O7" s="134">
        <f t="shared" si="1"/>
        <v>0</v>
      </c>
      <c r="P7" s="135"/>
      <c r="Q7" s="102"/>
      <c r="R7" s="136">
        <f t="shared" si="2"/>
        <v>0</v>
      </c>
      <c r="S7" s="101">
        <f>700.97</f>
        <v>700.97</v>
      </c>
      <c r="T7" s="137">
        <f t="shared" si="3"/>
        <v>-1393.75</v>
      </c>
      <c r="U7" s="73"/>
      <c r="V7" s="86" t="s">
        <v>180</v>
      </c>
      <c r="W7" s="30">
        <v>76.0</v>
      </c>
      <c r="X7" s="30">
        <v>76.0</v>
      </c>
      <c r="Y7" s="30">
        <f t="shared" si="4"/>
        <v>98.8</v>
      </c>
      <c r="Z7" s="26">
        <v>85.0</v>
      </c>
      <c r="AA7" s="145">
        <v>90.0</v>
      </c>
      <c r="AB7" s="73"/>
      <c r="AC7" s="73"/>
      <c r="AD7" s="73"/>
      <c r="AE7" s="73"/>
      <c r="AF7" s="73"/>
      <c r="AG7" s="73"/>
    </row>
    <row r="8" ht="15.75" customHeight="1">
      <c r="A8" s="130"/>
      <c r="B8" s="142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4"/>
      <c r="O8" s="134">
        <f t="shared" si="1"/>
        <v>0</v>
      </c>
      <c r="P8" s="135"/>
      <c r="Q8" s="102"/>
      <c r="R8" s="136">
        <f t="shared" si="2"/>
        <v>0</v>
      </c>
      <c r="S8" s="101">
        <v>1138.0</v>
      </c>
      <c r="T8" s="137">
        <f t="shared" si="3"/>
        <v>-2531.75</v>
      </c>
      <c r="U8" s="73"/>
      <c r="V8" s="86" t="s">
        <v>181</v>
      </c>
      <c r="W8" s="30">
        <v>890.0</v>
      </c>
      <c r="X8" s="30">
        <f>W8/12</f>
        <v>74.16666667</v>
      </c>
      <c r="Y8" s="150">
        <f t="shared" si="4"/>
        <v>96.41666667</v>
      </c>
      <c r="Z8" s="26">
        <v>50.0</v>
      </c>
      <c r="AA8" s="145">
        <v>50.0</v>
      </c>
      <c r="AB8" s="73"/>
      <c r="AC8" s="73"/>
      <c r="AD8" s="73"/>
      <c r="AE8" s="73"/>
      <c r="AF8" s="73"/>
      <c r="AG8" s="73"/>
    </row>
    <row r="9" ht="15.75" customHeight="1">
      <c r="A9" s="130"/>
      <c r="B9" s="131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  <c r="O9" s="134">
        <f t="shared" si="1"/>
        <v>0</v>
      </c>
      <c r="P9" s="135"/>
      <c r="Q9" s="102"/>
      <c r="R9" s="136">
        <f t="shared" si="2"/>
        <v>0</v>
      </c>
      <c r="S9" s="101">
        <v>1295.0</v>
      </c>
      <c r="T9" s="137">
        <f t="shared" si="3"/>
        <v>-3826.75</v>
      </c>
      <c r="U9" s="73"/>
      <c r="V9" s="86" t="s">
        <v>182</v>
      </c>
      <c r="W9" s="30">
        <v>368.0</v>
      </c>
      <c r="X9" s="30">
        <v>23.0</v>
      </c>
      <c r="Y9" s="150">
        <f t="shared" si="4"/>
        <v>29.9</v>
      </c>
      <c r="Z9" s="26">
        <v>30.0</v>
      </c>
      <c r="AA9" s="145">
        <v>30.0</v>
      </c>
      <c r="AB9" s="73"/>
      <c r="AC9" s="73"/>
      <c r="AD9" s="73"/>
      <c r="AE9" s="73"/>
      <c r="AF9" s="73"/>
      <c r="AG9" s="73"/>
    </row>
    <row r="10" ht="15.75" customHeight="1">
      <c r="A10" s="130"/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3"/>
      <c r="O10" s="134">
        <f t="shared" si="1"/>
        <v>0</v>
      </c>
      <c r="P10" s="135"/>
      <c r="Q10" s="102"/>
      <c r="R10" s="136">
        <f t="shared" si="2"/>
        <v>0</v>
      </c>
      <c r="S10" s="101">
        <v>1152.0</v>
      </c>
      <c r="T10" s="137">
        <f t="shared" si="3"/>
        <v>-4978.75</v>
      </c>
      <c r="U10" s="73"/>
      <c r="V10" s="86" t="s">
        <v>166</v>
      </c>
      <c r="W10" s="86">
        <v>76.0</v>
      </c>
      <c r="X10" s="30">
        <v>69.0</v>
      </c>
      <c r="Y10" s="30">
        <f t="shared" si="4"/>
        <v>89.7</v>
      </c>
      <c r="Z10" s="26">
        <v>85.0</v>
      </c>
      <c r="AA10" s="145">
        <v>90.0</v>
      </c>
      <c r="AB10" s="73"/>
      <c r="AC10" s="73"/>
      <c r="AD10" s="73"/>
      <c r="AE10" s="73"/>
      <c r="AF10" s="73"/>
      <c r="AG10" s="73"/>
    </row>
    <row r="11" ht="15.75" customHeight="1">
      <c r="A11" s="130"/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3"/>
      <c r="O11" s="134">
        <f t="shared" si="1"/>
        <v>0</v>
      </c>
      <c r="P11" s="135"/>
      <c r="Q11" s="102"/>
      <c r="R11" s="136">
        <f t="shared" si="2"/>
        <v>0</v>
      </c>
      <c r="S11" s="101"/>
      <c r="T11" s="137">
        <f t="shared" si="3"/>
        <v>-4978.75</v>
      </c>
      <c r="U11" s="73"/>
      <c r="V11" s="86" t="s">
        <v>183</v>
      </c>
      <c r="W11" s="86">
        <v>580.0</v>
      </c>
      <c r="X11" s="30">
        <f>W11/20</f>
        <v>29</v>
      </c>
      <c r="Y11" s="30">
        <f t="shared" si="4"/>
        <v>37.7</v>
      </c>
      <c r="Z11" s="26">
        <v>30.0</v>
      </c>
      <c r="AA11" s="145">
        <v>30.0</v>
      </c>
      <c r="AB11" s="73"/>
      <c r="AC11" s="73"/>
      <c r="AD11" s="73"/>
      <c r="AE11" s="73"/>
      <c r="AF11" s="73"/>
      <c r="AG11" s="73"/>
    </row>
    <row r="12" ht="15.75" customHeight="1">
      <c r="A12" s="130"/>
      <c r="B12" s="131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3"/>
      <c r="O12" s="134">
        <f t="shared" si="1"/>
        <v>0</v>
      </c>
      <c r="P12" s="135"/>
      <c r="Q12" s="102"/>
      <c r="R12" s="136">
        <f t="shared" si="2"/>
        <v>0</v>
      </c>
      <c r="S12" s="101"/>
      <c r="T12" s="137">
        <f t="shared" si="3"/>
        <v>-4978.75</v>
      </c>
      <c r="U12" s="73"/>
      <c r="V12" s="86" t="s">
        <v>184</v>
      </c>
      <c r="W12" s="86">
        <f>X12*30</f>
        <v>750</v>
      </c>
      <c r="X12" s="30">
        <v>25.0</v>
      </c>
      <c r="Y12" s="30">
        <f t="shared" si="4"/>
        <v>32.5</v>
      </c>
      <c r="Z12" s="26">
        <v>40.0</v>
      </c>
      <c r="AA12" s="145">
        <v>40.0</v>
      </c>
      <c r="AB12" s="73"/>
      <c r="AC12" s="73"/>
      <c r="AD12" s="73"/>
      <c r="AE12" s="73"/>
      <c r="AF12" s="73"/>
      <c r="AG12" s="73"/>
    </row>
    <row r="13" ht="15.75" customHeight="1">
      <c r="A13" s="130"/>
      <c r="B13" s="131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3"/>
      <c r="O13" s="134">
        <f t="shared" si="1"/>
        <v>0</v>
      </c>
      <c r="P13" s="135"/>
      <c r="Q13" s="102"/>
      <c r="R13" s="136">
        <f t="shared" si="2"/>
        <v>0</v>
      </c>
      <c r="S13" s="101"/>
      <c r="T13" s="137">
        <f t="shared" si="3"/>
        <v>-4978.75</v>
      </c>
      <c r="U13" s="73"/>
      <c r="V13" s="30" t="s">
        <v>185</v>
      </c>
      <c r="W13" s="30">
        <v>300.0</v>
      </c>
      <c r="X13" s="30">
        <f>W13/20</f>
        <v>15</v>
      </c>
      <c r="Y13" s="30">
        <f t="shared" si="4"/>
        <v>19.5</v>
      </c>
      <c r="Z13" s="30">
        <v>20.0</v>
      </c>
      <c r="AA13" s="151">
        <v>20.0</v>
      </c>
      <c r="AB13" s="73"/>
      <c r="AC13" s="73"/>
      <c r="AD13" s="73"/>
      <c r="AE13" s="73"/>
      <c r="AF13" s="73"/>
      <c r="AG13" s="73"/>
    </row>
    <row r="14" ht="15.75" customHeight="1">
      <c r="A14" s="130"/>
      <c r="B14" s="131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3"/>
      <c r="O14" s="134">
        <f t="shared" si="1"/>
        <v>0</v>
      </c>
      <c r="P14" s="135"/>
      <c r="Q14" s="102"/>
      <c r="R14" s="136">
        <f t="shared" si="2"/>
        <v>0</v>
      </c>
      <c r="S14" s="101"/>
      <c r="T14" s="137">
        <f t="shared" si="3"/>
        <v>-4978.75</v>
      </c>
      <c r="U14" s="73"/>
      <c r="V14" s="30" t="s">
        <v>186</v>
      </c>
      <c r="W14" s="30">
        <v>485.0</v>
      </c>
      <c r="X14" s="30">
        <f>W14/30</f>
        <v>16.16666667</v>
      </c>
      <c r="Y14" s="30">
        <f t="shared" si="4"/>
        <v>21.01666667</v>
      </c>
      <c r="Z14" s="30">
        <v>20.0</v>
      </c>
      <c r="AA14" s="151">
        <v>20.0</v>
      </c>
      <c r="AB14" s="73"/>
      <c r="AC14" s="73"/>
      <c r="AD14" s="73"/>
      <c r="AE14" s="73"/>
      <c r="AF14" s="73"/>
      <c r="AG14" s="73"/>
    </row>
    <row r="15" ht="15.75" customHeight="1">
      <c r="A15" s="130"/>
      <c r="B15" s="131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3"/>
      <c r="O15" s="134">
        <f t="shared" si="1"/>
        <v>0</v>
      </c>
      <c r="P15" s="135"/>
      <c r="Q15" s="102"/>
      <c r="R15" s="136">
        <f t="shared" si="2"/>
        <v>0</v>
      </c>
      <c r="S15" s="101"/>
      <c r="T15" s="137">
        <f t="shared" si="3"/>
        <v>-4978.75</v>
      </c>
      <c r="U15" s="73"/>
      <c r="V15" s="30" t="s">
        <v>187</v>
      </c>
      <c r="W15" s="30">
        <v>190.0</v>
      </c>
      <c r="X15" s="30">
        <f>W15/10</f>
        <v>19</v>
      </c>
      <c r="Y15" s="30">
        <f t="shared" si="4"/>
        <v>24.7</v>
      </c>
      <c r="Z15" s="30"/>
      <c r="AA15" s="151">
        <v>25.0</v>
      </c>
      <c r="AB15" s="73"/>
      <c r="AC15" s="73"/>
      <c r="AD15" s="73"/>
      <c r="AE15" s="73"/>
      <c r="AF15" s="73"/>
      <c r="AG15" s="73"/>
    </row>
    <row r="16" ht="15.75" customHeight="1">
      <c r="A16" s="102"/>
      <c r="B16" s="131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3"/>
      <c r="O16" s="134">
        <f t="shared" si="1"/>
        <v>0</v>
      </c>
      <c r="P16" s="135"/>
      <c r="Q16" s="102"/>
      <c r="R16" s="136">
        <f t="shared" si="2"/>
        <v>0</v>
      </c>
      <c r="S16" s="101"/>
      <c r="T16" s="137">
        <f t="shared" si="3"/>
        <v>-4978.75</v>
      </c>
      <c r="U16" s="73"/>
      <c r="V16" s="30" t="s">
        <v>188</v>
      </c>
      <c r="W16" s="30">
        <f>585</f>
        <v>585</v>
      </c>
      <c r="X16" s="30">
        <f>W16/30</f>
        <v>19.5</v>
      </c>
      <c r="Y16" s="30">
        <f t="shared" si="4"/>
        <v>25.35</v>
      </c>
      <c r="Z16" s="30">
        <v>25.0</v>
      </c>
      <c r="AA16" s="151">
        <v>25.0</v>
      </c>
      <c r="AB16" s="73"/>
      <c r="AC16" s="73"/>
      <c r="AD16" s="73"/>
      <c r="AE16" s="73"/>
      <c r="AF16" s="73"/>
      <c r="AG16" s="73"/>
    </row>
    <row r="17" ht="15.75" customHeight="1">
      <c r="A17" s="13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3"/>
      <c r="O17" s="134">
        <f t="shared" si="1"/>
        <v>0</v>
      </c>
      <c r="P17" s="135"/>
      <c r="Q17" s="102"/>
      <c r="R17" s="136">
        <f t="shared" si="2"/>
        <v>0</v>
      </c>
      <c r="S17" s="101"/>
      <c r="T17" s="137">
        <f t="shared" si="3"/>
        <v>-4978.75</v>
      </c>
      <c r="U17" s="73"/>
      <c r="AB17" s="73"/>
      <c r="AC17" s="73"/>
      <c r="AD17" s="73"/>
      <c r="AE17" s="73"/>
      <c r="AF17" s="73"/>
      <c r="AG17" s="73"/>
    </row>
    <row r="18" ht="15.75" customHeight="1">
      <c r="A18" s="13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3"/>
      <c r="O18" s="134">
        <f t="shared" si="1"/>
        <v>0</v>
      </c>
      <c r="P18" s="135"/>
      <c r="Q18" s="102"/>
      <c r="R18" s="136">
        <f t="shared" si="2"/>
        <v>0</v>
      </c>
      <c r="S18" s="101"/>
      <c r="T18" s="137">
        <f t="shared" si="3"/>
        <v>-4978.75</v>
      </c>
      <c r="U18" s="73"/>
      <c r="AB18" s="73"/>
      <c r="AC18" s="73"/>
      <c r="AD18" s="73"/>
      <c r="AE18" s="73"/>
      <c r="AF18" s="73"/>
      <c r="AG18" s="73"/>
    </row>
    <row r="19" ht="15.75" customHeight="1">
      <c r="A19" s="13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3"/>
      <c r="O19" s="134">
        <f t="shared" si="1"/>
        <v>0</v>
      </c>
      <c r="P19" s="135"/>
      <c r="Q19" s="102"/>
      <c r="R19" s="136">
        <f t="shared" si="2"/>
        <v>0</v>
      </c>
      <c r="S19" s="101"/>
      <c r="T19" s="137">
        <f t="shared" si="3"/>
        <v>-4978.75</v>
      </c>
      <c r="U19" s="73"/>
      <c r="Y19" s="152" t="s">
        <v>189</v>
      </c>
      <c r="AB19" s="73"/>
      <c r="AC19" s="73"/>
      <c r="AD19" s="73"/>
      <c r="AE19" s="73"/>
      <c r="AF19" s="73"/>
      <c r="AG19" s="73"/>
    </row>
    <row r="20" ht="15.75" customHeight="1">
      <c r="A20" s="13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3"/>
      <c r="O20" s="134">
        <f t="shared" si="1"/>
        <v>0</v>
      </c>
      <c r="P20" s="135"/>
      <c r="Q20" s="102"/>
      <c r="R20" s="136">
        <f t="shared" si="2"/>
        <v>0</v>
      </c>
      <c r="S20" s="101"/>
      <c r="T20" s="137">
        <f t="shared" si="3"/>
        <v>-4978.75</v>
      </c>
      <c r="U20" s="73"/>
      <c r="Y20" s="153" t="s">
        <v>190</v>
      </c>
      <c r="Z20" s="153">
        <v>2.0490041E7</v>
      </c>
      <c r="AB20" s="73"/>
      <c r="AC20" s="73"/>
      <c r="AD20" s="73"/>
      <c r="AE20" s="73"/>
      <c r="AF20" s="73"/>
      <c r="AG20" s="73"/>
    </row>
    <row r="21" ht="15.75" customHeight="1">
      <c r="A21" s="130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3"/>
      <c r="O21" s="134">
        <f t="shared" si="1"/>
        <v>0</v>
      </c>
      <c r="P21" s="135"/>
      <c r="Q21" s="102"/>
      <c r="R21" s="136">
        <f t="shared" si="2"/>
        <v>0</v>
      </c>
      <c r="S21" s="101"/>
      <c r="T21" s="137">
        <f t="shared" si="3"/>
        <v>-4978.75</v>
      </c>
      <c r="U21" s="73"/>
      <c r="AB21" s="73"/>
      <c r="AC21" s="73"/>
      <c r="AD21" s="73"/>
      <c r="AE21" s="73"/>
      <c r="AF21" s="73"/>
      <c r="AG21" s="73"/>
    </row>
    <row r="22" ht="15.75" customHeight="1">
      <c r="A22" s="13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3"/>
      <c r="O22" s="134">
        <f t="shared" si="1"/>
        <v>0</v>
      </c>
      <c r="P22" s="135"/>
      <c r="Q22" s="102"/>
      <c r="R22" s="136">
        <f t="shared" si="2"/>
        <v>0</v>
      </c>
      <c r="S22" s="101"/>
      <c r="T22" s="137">
        <f t="shared" si="3"/>
        <v>-4978.75</v>
      </c>
      <c r="U22" s="73"/>
      <c r="X22" s="73">
        <f>380/2</f>
        <v>190</v>
      </c>
      <c r="Y22" s="73"/>
      <c r="Z22" s="73"/>
      <c r="AA22" s="73"/>
      <c r="AB22" s="73"/>
      <c r="AC22" s="73"/>
      <c r="AD22" s="73"/>
      <c r="AE22" s="73"/>
      <c r="AF22" s="73"/>
      <c r="AG22" s="73"/>
    </row>
    <row r="23" ht="15.75" customHeight="1">
      <c r="A23" s="130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3"/>
      <c r="O23" s="134">
        <f t="shared" si="1"/>
        <v>0</v>
      </c>
      <c r="P23" s="135"/>
      <c r="Q23" s="102"/>
      <c r="R23" s="136">
        <f t="shared" si="2"/>
        <v>0</v>
      </c>
      <c r="S23" s="101"/>
      <c r="T23" s="137">
        <f t="shared" si="3"/>
        <v>-4978.75</v>
      </c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</row>
    <row r="24" ht="15.75" customHeight="1">
      <c r="A24" s="130"/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3"/>
      <c r="O24" s="134">
        <f t="shared" si="1"/>
        <v>0</v>
      </c>
      <c r="P24" s="135"/>
      <c r="Q24" s="102"/>
      <c r="R24" s="136">
        <f t="shared" si="2"/>
        <v>0</v>
      </c>
      <c r="S24" s="101"/>
      <c r="T24" s="137">
        <f t="shared" si="3"/>
        <v>-4978.75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 ht="15.75" customHeight="1">
      <c r="A25" s="130"/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  <c r="O25" s="134">
        <f t="shared" si="1"/>
        <v>0</v>
      </c>
      <c r="P25" s="135"/>
      <c r="Q25" s="102"/>
      <c r="R25" s="136">
        <f t="shared" si="2"/>
        <v>0</v>
      </c>
      <c r="S25" s="101"/>
      <c r="T25" s="137">
        <f t="shared" si="3"/>
        <v>-4978.75</v>
      </c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 ht="15.75" customHeight="1">
      <c r="A26" s="130"/>
      <c r="B26" s="131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  <c r="O26" s="134">
        <f t="shared" si="1"/>
        <v>0</v>
      </c>
      <c r="P26" s="135"/>
      <c r="Q26" s="102"/>
      <c r="R26" s="136">
        <f t="shared" si="2"/>
        <v>0</v>
      </c>
      <c r="S26" s="101"/>
      <c r="T26" s="137">
        <f t="shared" si="3"/>
        <v>-4978.75</v>
      </c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 ht="15.75" customHeight="1">
      <c r="A27" s="130"/>
      <c r="B27" s="131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3"/>
      <c r="O27" s="134">
        <f t="shared" si="1"/>
        <v>0</v>
      </c>
      <c r="P27" s="135"/>
      <c r="Q27" s="102"/>
      <c r="R27" s="136">
        <f t="shared" si="2"/>
        <v>0</v>
      </c>
      <c r="S27" s="101"/>
      <c r="T27" s="137">
        <f t="shared" si="3"/>
        <v>-4978.75</v>
      </c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 ht="15.75" customHeight="1">
      <c r="A28" s="130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3"/>
      <c r="O28" s="134">
        <f t="shared" si="1"/>
        <v>0</v>
      </c>
      <c r="P28" s="135"/>
      <c r="Q28" s="102"/>
      <c r="R28" s="136">
        <f t="shared" si="2"/>
        <v>0</v>
      </c>
      <c r="S28" s="101"/>
      <c r="T28" s="137">
        <f t="shared" si="3"/>
        <v>-4978.75</v>
      </c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 ht="15.75" customHeight="1">
      <c r="A29" s="130"/>
      <c r="B29" s="131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3"/>
      <c r="O29" s="134">
        <f t="shared" si="1"/>
        <v>0</v>
      </c>
      <c r="P29" s="135"/>
      <c r="Q29" s="102"/>
      <c r="R29" s="136">
        <f t="shared" si="2"/>
        <v>0</v>
      </c>
      <c r="S29" s="101"/>
      <c r="T29" s="137">
        <f t="shared" si="3"/>
        <v>-4978.75</v>
      </c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 ht="15.75" customHeight="1">
      <c r="A30" s="130"/>
      <c r="B30" s="131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3"/>
      <c r="O30" s="134">
        <f t="shared" si="1"/>
        <v>0</v>
      </c>
      <c r="P30" s="135"/>
      <c r="Q30" s="102"/>
      <c r="R30" s="136">
        <f t="shared" si="2"/>
        <v>0</v>
      </c>
      <c r="S30" s="101"/>
      <c r="T30" s="137">
        <f t="shared" si="3"/>
        <v>-4978.75</v>
      </c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 ht="15.75" customHeight="1">
      <c r="A31" s="130"/>
      <c r="B31" s="131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3"/>
      <c r="O31" s="134">
        <f t="shared" si="1"/>
        <v>0</v>
      </c>
      <c r="P31" s="135"/>
      <c r="Q31" s="102"/>
      <c r="R31" s="136">
        <f t="shared" si="2"/>
        <v>0</v>
      </c>
      <c r="S31" s="101"/>
      <c r="T31" s="137">
        <f t="shared" si="3"/>
        <v>-4978.75</v>
      </c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 ht="15.75" customHeight="1">
      <c r="A32" s="130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3"/>
      <c r="O32" s="134">
        <f t="shared" si="1"/>
        <v>0</v>
      </c>
      <c r="P32" s="135"/>
      <c r="Q32" s="102"/>
      <c r="R32" s="136">
        <f t="shared" si="2"/>
        <v>0</v>
      </c>
      <c r="S32" s="101"/>
      <c r="T32" s="137">
        <f t="shared" si="3"/>
        <v>-4978.75</v>
      </c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</row>
    <row r="33" ht="15.75" customHeight="1">
      <c r="A33" s="130"/>
      <c r="B33" s="131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3"/>
      <c r="O33" s="134">
        <f t="shared" si="1"/>
        <v>0</v>
      </c>
      <c r="P33" s="135"/>
      <c r="Q33" s="102"/>
      <c r="R33" s="136">
        <f t="shared" si="2"/>
        <v>0</v>
      </c>
      <c r="S33" s="101"/>
      <c r="T33" s="137">
        <f t="shared" si="3"/>
        <v>-4978.75</v>
      </c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</row>
    <row r="34" ht="15.75" customHeight="1">
      <c r="A34" s="130"/>
      <c r="B34" s="131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3"/>
      <c r="O34" s="134">
        <f t="shared" si="1"/>
        <v>0</v>
      </c>
      <c r="P34" s="135"/>
      <c r="Q34" s="102"/>
      <c r="R34" s="136">
        <f t="shared" si="2"/>
        <v>0</v>
      </c>
      <c r="S34" s="101"/>
      <c r="T34" s="137">
        <f t="shared" si="3"/>
        <v>-4978.75</v>
      </c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</row>
    <row r="35" ht="15.75" customHeight="1">
      <c r="A35" s="130"/>
      <c r="B35" s="131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3"/>
      <c r="O35" s="134">
        <f t="shared" si="1"/>
        <v>0</v>
      </c>
      <c r="P35" s="135"/>
      <c r="Q35" s="102"/>
      <c r="R35" s="136">
        <f t="shared" si="2"/>
        <v>0</v>
      </c>
      <c r="S35" s="101"/>
      <c r="T35" s="137">
        <f t="shared" si="3"/>
        <v>-4978.75</v>
      </c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 ht="15.75" customHeight="1">
      <c r="A36" s="130"/>
      <c r="B36" s="131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3"/>
      <c r="O36" s="134">
        <f t="shared" si="1"/>
        <v>0</v>
      </c>
      <c r="P36" s="135"/>
      <c r="Q36" s="102"/>
      <c r="R36" s="136">
        <f t="shared" si="2"/>
        <v>0</v>
      </c>
      <c r="S36" s="101"/>
      <c r="T36" s="137">
        <f t="shared" si="3"/>
        <v>-4978.75</v>
      </c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</row>
    <row r="37" ht="15.75" customHeight="1">
      <c r="A37" s="130"/>
      <c r="B37" s="131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3"/>
      <c r="O37" s="134">
        <f t="shared" si="1"/>
        <v>0</v>
      </c>
      <c r="P37" s="135"/>
      <c r="Q37" s="102"/>
      <c r="R37" s="136">
        <f t="shared" si="2"/>
        <v>0</v>
      </c>
      <c r="S37" s="101"/>
      <c r="T37" s="137">
        <f t="shared" si="3"/>
        <v>-4978.75</v>
      </c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</row>
    <row r="38" ht="15.75" customHeight="1">
      <c r="A38" s="130"/>
      <c r="B38" s="131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3"/>
      <c r="O38" s="134">
        <f t="shared" si="1"/>
        <v>0</v>
      </c>
      <c r="P38" s="135"/>
      <c r="Q38" s="102"/>
      <c r="R38" s="136">
        <f t="shared" si="2"/>
        <v>0</v>
      </c>
      <c r="S38" s="101"/>
      <c r="T38" s="137">
        <f t="shared" si="3"/>
        <v>-4978.75</v>
      </c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 ht="15.75" customHeight="1">
      <c r="A39" s="130"/>
      <c r="B39" s="131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3"/>
      <c r="O39" s="134">
        <f t="shared" si="1"/>
        <v>0</v>
      </c>
      <c r="P39" s="135"/>
      <c r="Q39" s="102"/>
      <c r="R39" s="136">
        <f t="shared" si="2"/>
        <v>0</v>
      </c>
      <c r="S39" s="101"/>
      <c r="T39" s="137">
        <f t="shared" si="3"/>
        <v>-4978.75</v>
      </c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</row>
    <row r="40" ht="15.75" customHeight="1">
      <c r="A40" s="130"/>
      <c r="B40" s="131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3"/>
      <c r="O40" s="134">
        <f t="shared" si="1"/>
        <v>0</v>
      </c>
      <c r="P40" s="135"/>
      <c r="Q40" s="102"/>
      <c r="R40" s="136">
        <f t="shared" si="2"/>
        <v>0</v>
      </c>
      <c r="S40" s="101"/>
      <c r="T40" s="137">
        <f t="shared" si="3"/>
        <v>-4978.75</v>
      </c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</row>
    <row r="41" ht="15.75" customHeight="1">
      <c r="A41" s="130"/>
      <c r="B41" s="131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3"/>
      <c r="O41" s="134">
        <f t="shared" si="1"/>
        <v>0</v>
      </c>
      <c r="P41" s="135"/>
      <c r="Q41" s="102"/>
      <c r="R41" s="136">
        <f t="shared" si="2"/>
        <v>0</v>
      </c>
      <c r="S41" s="101"/>
      <c r="T41" s="137">
        <f t="shared" si="3"/>
        <v>-4978.75</v>
      </c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</row>
    <row r="42" ht="15.75" customHeight="1">
      <c r="A42" s="130"/>
      <c r="B42" s="131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3"/>
      <c r="O42" s="134">
        <f t="shared" si="1"/>
        <v>0</v>
      </c>
      <c r="P42" s="135"/>
      <c r="Q42" s="102"/>
      <c r="R42" s="136">
        <f t="shared" si="2"/>
        <v>0</v>
      </c>
      <c r="S42" s="101"/>
      <c r="T42" s="137">
        <f t="shared" si="3"/>
        <v>-4978.75</v>
      </c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</row>
    <row r="43" ht="15.75" customHeight="1">
      <c r="A43" s="130"/>
      <c r="B43" s="131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3"/>
      <c r="O43" s="134">
        <f t="shared" si="1"/>
        <v>0</v>
      </c>
      <c r="P43" s="135"/>
      <c r="Q43" s="102"/>
      <c r="R43" s="136">
        <f t="shared" si="2"/>
        <v>0</v>
      </c>
      <c r="S43" s="101"/>
      <c r="T43" s="137">
        <f t="shared" si="3"/>
        <v>-4978.75</v>
      </c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</row>
    <row r="44" ht="15.75" customHeight="1">
      <c r="A44" s="130"/>
      <c r="B44" s="131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3"/>
      <c r="O44" s="134">
        <f t="shared" si="1"/>
        <v>0</v>
      </c>
      <c r="P44" s="135"/>
      <c r="Q44" s="102"/>
      <c r="R44" s="136">
        <f t="shared" si="2"/>
        <v>0</v>
      </c>
      <c r="S44" s="101"/>
      <c r="T44" s="137">
        <f t="shared" si="3"/>
        <v>-4978.75</v>
      </c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 ht="15.75" customHeight="1">
      <c r="A45" s="130"/>
      <c r="B45" s="131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3"/>
      <c r="O45" s="134"/>
      <c r="P45" s="135"/>
      <c r="Q45" s="102"/>
      <c r="R45" s="136" t="str">
        <f t="shared" si="2"/>
        <v/>
      </c>
      <c r="S45" s="101"/>
      <c r="T45" s="137">
        <f t="shared" si="3"/>
        <v>-4978.75</v>
      </c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</row>
    <row r="46" ht="15.75" customHeight="1">
      <c r="A46" s="130"/>
      <c r="B46" s="131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3"/>
      <c r="O46" s="134"/>
      <c r="P46" s="135"/>
      <c r="Q46" s="102"/>
      <c r="R46" s="136" t="str">
        <f t="shared" si="2"/>
        <v/>
      </c>
      <c r="S46" s="101"/>
      <c r="T46" s="137">
        <f t="shared" si="3"/>
        <v>-4978.75</v>
      </c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</row>
    <row r="47" ht="15.75" customHeight="1">
      <c r="A47" s="73"/>
      <c r="B47" s="154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6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</row>
    <row r="48" ht="15.75" customHeight="1">
      <c r="A48" s="73"/>
      <c r="B48" s="154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6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</row>
    <row r="49" ht="15.75" customHeight="1">
      <c r="A49" s="73"/>
      <c r="B49" s="154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6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</row>
    <row r="50" ht="15.75" customHeight="1">
      <c r="A50" s="73"/>
      <c r="B50" s="154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6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</row>
    <row r="51" ht="15.75" customHeight="1">
      <c r="A51" s="73"/>
      <c r="B51" s="154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6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</row>
    <row r="52" ht="15.75" customHeight="1">
      <c r="A52" s="73"/>
      <c r="B52" s="154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6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</row>
    <row r="53" ht="15.75" customHeight="1">
      <c r="A53" s="120"/>
      <c r="B53" s="154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6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</row>
    <row r="54" ht="15.75" customHeight="1">
      <c r="A54" s="120"/>
      <c r="B54" s="154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6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</row>
    <row r="55" ht="15.75" customHeight="1">
      <c r="A55" s="120"/>
      <c r="B55" s="154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6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</row>
    <row r="56" ht="15.75" customHeight="1">
      <c r="A56" s="120"/>
      <c r="B56" s="154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</row>
    <row r="57" ht="15.75" customHeight="1">
      <c r="A57" s="120"/>
      <c r="B57" s="154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6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</row>
    <row r="58" ht="15.75" customHeight="1">
      <c r="A58" s="120"/>
      <c r="B58" s="154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6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</row>
    <row r="59" ht="15.75" customHeight="1">
      <c r="A59" s="120"/>
      <c r="B59" s="154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6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</row>
    <row r="60" ht="15.75" customHeight="1">
      <c r="A60" s="120"/>
      <c r="B60" s="154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6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</row>
    <row r="61" ht="15.75" customHeight="1">
      <c r="A61" s="120"/>
      <c r="B61" s="154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6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</row>
    <row r="62" ht="15.75" customHeight="1">
      <c r="A62" s="120"/>
      <c r="B62" s="154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6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</row>
    <row r="63" ht="15.75" customHeight="1">
      <c r="A63" s="120"/>
      <c r="B63" s="154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6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</row>
    <row r="64" ht="15.75" customHeight="1">
      <c r="A64" s="120"/>
      <c r="B64" s="154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6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</row>
    <row r="65" ht="15.75" customHeight="1">
      <c r="A65" s="120"/>
      <c r="B65" s="154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6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</row>
    <row r="66" ht="15.75" customHeight="1">
      <c r="A66" s="120"/>
      <c r="B66" s="154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6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</row>
    <row r="67" ht="15.75" customHeight="1">
      <c r="A67" s="120"/>
      <c r="B67" s="154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6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</row>
    <row r="68" ht="15.75" customHeight="1">
      <c r="A68" s="120"/>
      <c r="B68" s="154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6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</row>
    <row r="69" ht="15.75" customHeight="1">
      <c r="A69" s="120"/>
      <c r="B69" s="154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6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</row>
    <row r="70" ht="15.75" customHeight="1">
      <c r="A70" s="120"/>
      <c r="B70" s="154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6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</row>
    <row r="71" ht="15.75" customHeight="1">
      <c r="A71" s="120"/>
      <c r="B71" s="154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6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</row>
    <row r="72" ht="15.75" customHeight="1">
      <c r="A72" s="120"/>
      <c r="B72" s="154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6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</row>
    <row r="73" ht="15.75" customHeight="1">
      <c r="A73" s="120"/>
      <c r="B73" s="154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6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</row>
    <row r="74" ht="15.75" customHeight="1">
      <c r="A74" s="120"/>
      <c r="B74" s="154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6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</row>
    <row r="75" ht="15.75" customHeight="1">
      <c r="A75" s="120"/>
      <c r="B75" s="154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6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</row>
    <row r="76" ht="15.75" customHeight="1">
      <c r="A76" s="120"/>
      <c r="B76" s="154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6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</row>
    <row r="77" ht="15.75" customHeight="1">
      <c r="A77" s="120"/>
      <c r="B77" s="154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6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</row>
    <row r="78" ht="15.75" customHeight="1">
      <c r="A78" s="120"/>
      <c r="B78" s="154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6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</row>
    <row r="79" ht="15.75" customHeight="1">
      <c r="A79" s="120"/>
      <c r="B79" s="154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6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</row>
    <row r="80" ht="15.75" customHeight="1">
      <c r="A80" s="120"/>
      <c r="B80" s="154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6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</row>
    <row r="81" ht="15.75" customHeight="1">
      <c r="A81" s="120"/>
      <c r="B81" s="154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6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</row>
    <row r="82" ht="15.75" customHeight="1">
      <c r="A82" s="120"/>
      <c r="B82" s="154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6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</row>
    <row r="83" ht="15.75" customHeight="1">
      <c r="A83" s="120"/>
      <c r="B83" s="154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6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</row>
    <row r="84" ht="15.75" customHeight="1">
      <c r="A84" s="120"/>
      <c r="B84" s="154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6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</row>
    <row r="85" ht="15.75" customHeight="1">
      <c r="A85" s="120"/>
      <c r="B85" s="154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6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</row>
    <row r="86" ht="15.75" customHeight="1">
      <c r="A86" s="120"/>
      <c r="B86" s="154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6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</row>
    <row r="87" ht="15.75" customHeight="1">
      <c r="A87" s="120"/>
      <c r="B87" s="154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6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</row>
    <row r="88" ht="15.75" customHeight="1">
      <c r="A88" s="120"/>
      <c r="B88" s="154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6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</row>
    <row r="89" ht="15.75" customHeight="1">
      <c r="A89" s="120"/>
      <c r="B89" s="154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6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</row>
    <row r="90" ht="15.75" customHeight="1">
      <c r="A90" s="120"/>
      <c r="B90" s="154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6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</row>
    <row r="91" ht="15.75" customHeight="1">
      <c r="A91" s="120"/>
      <c r="B91" s="154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6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</row>
    <row r="92" ht="15.75" customHeight="1">
      <c r="A92" s="120"/>
      <c r="B92" s="154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6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</row>
    <row r="93" ht="15.75" customHeight="1">
      <c r="A93" s="120"/>
      <c r="B93" s="154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6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</row>
    <row r="94" ht="15.75" customHeight="1">
      <c r="A94" s="120"/>
      <c r="B94" s="154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6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</row>
    <row r="95" ht="15.75" customHeight="1">
      <c r="A95" s="120"/>
      <c r="B95" s="154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6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</row>
    <row r="96" ht="15.75" customHeight="1">
      <c r="A96" s="120"/>
      <c r="B96" s="154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6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</row>
    <row r="97" ht="15.75" customHeight="1">
      <c r="A97" s="120"/>
      <c r="B97" s="154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6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</row>
    <row r="98" ht="15.75" customHeight="1">
      <c r="A98" s="120"/>
      <c r="B98" s="154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6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</row>
    <row r="99" ht="15.75" customHeight="1">
      <c r="A99" s="120"/>
      <c r="B99" s="154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6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</row>
    <row r="100" ht="15.75" customHeight="1">
      <c r="A100" s="120"/>
      <c r="B100" s="154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6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</row>
    <row r="101" ht="15.75" customHeight="1">
      <c r="A101" s="120"/>
      <c r="B101" s="154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6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</row>
    <row r="102" ht="15.75" customHeight="1">
      <c r="A102" s="120"/>
      <c r="B102" s="154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6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</row>
    <row r="103" ht="15.75" customHeight="1">
      <c r="A103" s="120"/>
      <c r="B103" s="154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6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</row>
    <row r="104" ht="15.75" customHeight="1">
      <c r="A104" s="120"/>
      <c r="B104" s="154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6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</row>
    <row r="105" ht="15.75" customHeight="1">
      <c r="A105" s="120"/>
      <c r="B105" s="154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6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</row>
    <row r="106" ht="15.75" customHeight="1">
      <c r="A106" s="120"/>
      <c r="B106" s="154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6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</row>
    <row r="107" ht="15.75" customHeight="1">
      <c r="A107" s="120"/>
      <c r="B107" s="154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6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</row>
    <row r="108" ht="15.75" customHeight="1">
      <c r="A108" s="120"/>
      <c r="B108" s="154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6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</row>
    <row r="109" ht="15.75" customHeight="1">
      <c r="A109" s="120"/>
      <c r="B109" s="154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6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</row>
    <row r="110" ht="15.75" customHeight="1">
      <c r="A110" s="120"/>
      <c r="B110" s="154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6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</row>
    <row r="111" ht="15.75" customHeight="1">
      <c r="A111" s="120"/>
      <c r="B111" s="154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6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</row>
    <row r="112" ht="15.75" customHeight="1">
      <c r="A112" s="120"/>
      <c r="B112" s="154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6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</row>
    <row r="113" ht="15.75" customHeight="1">
      <c r="A113" s="120"/>
      <c r="B113" s="154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6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</row>
    <row r="114" ht="15.75" customHeight="1">
      <c r="A114" s="120"/>
      <c r="B114" s="154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6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</row>
    <row r="115" ht="15.75" customHeight="1">
      <c r="A115" s="120"/>
      <c r="B115" s="154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6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</row>
    <row r="116" ht="15.75" customHeight="1">
      <c r="A116" s="120"/>
      <c r="B116" s="154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6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</row>
    <row r="117" ht="15.75" customHeight="1">
      <c r="A117" s="120"/>
      <c r="B117" s="154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6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</row>
    <row r="118" ht="15.75" customHeight="1">
      <c r="A118" s="120"/>
      <c r="B118" s="154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6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</row>
    <row r="119" ht="15.75" customHeight="1">
      <c r="A119" s="120"/>
      <c r="B119" s="154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6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</row>
    <row r="120" ht="15.75" customHeight="1">
      <c r="A120" s="120"/>
      <c r="B120" s="154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6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</row>
    <row r="121" ht="15.75" customHeight="1">
      <c r="A121" s="120"/>
      <c r="B121" s="154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6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</row>
    <row r="122" ht="15.75" customHeight="1">
      <c r="A122" s="120"/>
      <c r="B122" s="154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6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</row>
    <row r="123" ht="15.75" customHeight="1">
      <c r="A123" s="120"/>
      <c r="B123" s="154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6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</row>
    <row r="124" ht="15.75" customHeight="1">
      <c r="A124" s="120"/>
      <c r="B124" s="154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6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</row>
    <row r="125" ht="15.75" customHeight="1">
      <c r="A125" s="120"/>
      <c r="B125" s="154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6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</row>
    <row r="126" ht="15.75" customHeight="1">
      <c r="A126" s="120"/>
      <c r="B126" s="154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6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</row>
    <row r="127" ht="15.75" customHeight="1">
      <c r="A127" s="120"/>
      <c r="B127" s="154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6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</row>
    <row r="128" ht="15.75" customHeight="1">
      <c r="A128" s="120"/>
      <c r="B128" s="154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6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ht="15.75" customHeight="1">
      <c r="A129" s="120"/>
      <c r="B129" s="154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6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</row>
    <row r="130" ht="15.75" customHeight="1">
      <c r="A130" s="120"/>
      <c r="B130" s="154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6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</row>
    <row r="131" ht="15.75" customHeight="1">
      <c r="A131" s="120"/>
      <c r="B131" s="154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6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</row>
    <row r="132" ht="15.75" customHeight="1">
      <c r="A132" s="120"/>
      <c r="B132" s="154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6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</row>
    <row r="133" ht="15.75" customHeight="1">
      <c r="A133" s="120"/>
      <c r="B133" s="154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6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</row>
    <row r="134" ht="15.75" customHeight="1">
      <c r="A134" s="120"/>
      <c r="B134" s="154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6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</row>
    <row r="135" ht="15.75" customHeight="1">
      <c r="A135" s="120"/>
      <c r="B135" s="154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6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</row>
    <row r="136" ht="15.75" customHeight="1">
      <c r="A136" s="120"/>
      <c r="B136" s="154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6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</row>
    <row r="137" ht="15.75" customHeight="1">
      <c r="A137" s="120"/>
      <c r="B137" s="154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6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</row>
    <row r="138" ht="15.75" customHeight="1">
      <c r="A138" s="120"/>
      <c r="B138" s="154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6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</row>
    <row r="139" ht="15.75" customHeight="1">
      <c r="A139" s="120"/>
      <c r="B139" s="154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6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</row>
    <row r="140" ht="15.75" customHeight="1">
      <c r="A140" s="120"/>
      <c r="B140" s="154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6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</row>
    <row r="141" ht="15.75" customHeight="1">
      <c r="A141" s="120"/>
      <c r="B141" s="154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6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</row>
    <row r="142" ht="15.75" customHeight="1">
      <c r="A142" s="120"/>
      <c r="B142" s="154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6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</row>
    <row r="143" ht="15.75" customHeight="1">
      <c r="A143" s="120"/>
      <c r="B143" s="154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6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</row>
    <row r="144" ht="15.75" customHeight="1">
      <c r="A144" s="120"/>
      <c r="B144" s="154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6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</row>
    <row r="145" ht="15.75" customHeight="1">
      <c r="A145" s="120"/>
      <c r="B145" s="154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6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</row>
    <row r="146" ht="15.75" customHeight="1">
      <c r="A146" s="120"/>
      <c r="B146" s="154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6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</row>
    <row r="147" ht="15.75" customHeight="1">
      <c r="A147" s="120"/>
      <c r="B147" s="154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6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</row>
    <row r="148" ht="15.75" customHeight="1">
      <c r="A148" s="120"/>
      <c r="B148" s="154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6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</row>
    <row r="149" ht="15.75" customHeight="1">
      <c r="A149" s="120"/>
      <c r="B149" s="154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6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</row>
    <row r="150" ht="15.75" customHeight="1">
      <c r="A150" s="120"/>
      <c r="B150" s="154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6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</row>
    <row r="151" ht="15.75" customHeight="1">
      <c r="A151" s="120"/>
      <c r="B151" s="154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6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</row>
    <row r="152" ht="15.75" customHeight="1">
      <c r="A152" s="120"/>
      <c r="B152" s="154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6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</row>
    <row r="153" ht="15.75" customHeight="1">
      <c r="A153" s="120"/>
      <c r="B153" s="154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6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</row>
    <row r="154" ht="15.75" customHeight="1">
      <c r="A154" s="120"/>
      <c r="B154" s="154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6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</row>
    <row r="155" ht="15.75" customHeight="1">
      <c r="A155" s="120"/>
      <c r="B155" s="154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6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</row>
    <row r="156" ht="15.75" customHeight="1">
      <c r="A156" s="120"/>
      <c r="B156" s="154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6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</row>
    <row r="157" ht="15.75" customHeight="1">
      <c r="A157" s="120"/>
      <c r="B157" s="154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6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</row>
    <row r="158" ht="15.75" customHeight="1">
      <c r="A158" s="120"/>
      <c r="B158" s="154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6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</row>
    <row r="159" ht="15.75" customHeight="1">
      <c r="A159" s="120"/>
      <c r="B159" s="154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6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</row>
    <row r="160" ht="15.75" customHeight="1">
      <c r="A160" s="120"/>
      <c r="B160" s="154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6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</row>
    <row r="161" ht="15.75" customHeight="1">
      <c r="A161" s="120"/>
      <c r="B161" s="154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6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</row>
    <row r="162" ht="15.75" customHeight="1">
      <c r="A162" s="120"/>
      <c r="B162" s="154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6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</row>
    <row r="163" ht="15.75" customHeight="1">
      <c r="A163" s="120"/>
      <c r="B163" s="154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6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</row>
    <row r="164" ht="15.75" customHeight="1">
      <c r="A164" s="120"/>
      <c r="B164" s="154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6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</row>
    <row r="165" ht="15.75" customHeight="1">
      <c r="A165" s="120"/>
      <c r="B165" s="154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6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</row>
    <row r="166" ht="15.75" customHeight="1">
      <c r="A166" s="120"/>
      <c r="B166" s="154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6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</row>
    <row r="167" ht="15.75" customHeight="1">
      <c r="A167" s="120"/>
      <c r="B167" s="154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6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</row>
    <row r="168" ht="15.75" customHeight="1">
      <c r="A168" s="120"/>
      <c r="B168" s="154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6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</row>
    <row r="169" ht="15.75" customHeight="1">
      <c r="A169" s="120"/>
      <c r="B169" s="154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6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</row>
    <row r="170" ht="15.75" customHeight="1">
      <c r="A170" s="120"/>
      <c r="B170" s="154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6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</row>
    <row r="171" ht="15.75" customHeight="1">
      <c r="A171" s="120"/>
      <c r="B171" s="154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6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</row>
    <row r="172" ht="15.75" customHeight="1">
      <c r="A172" s="120"/>
      <c r="B172" s="154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6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</row>
    <row r="173" ht="15.75" customHeight="1">
      <c r="A173" s="120"/>
      <c r="B173" s="154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6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</row>
    <row r="174" ht="15.75" customHeight="1">
      <c r="A174" s="120"/>
      <c r="B174" s="154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6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</row>
    <row r="175" ht="15.75" customHeight="1">
      <c r="A175" s="120"/>
      <c r="B175" s="154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6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</row>
    <row r="176" ht="15.75" customHeight="1">
      <c r="A176" s="120"/>
      <c r="B176" s="154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6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</row>
    <row r="177" ht="15.75" customHeight="1">
      <c r="A177" s="120"/>
      <c r="B177" s="154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6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</row>
    <row r="178" ht="15.75" customHeight="1">
      <c r="A178" s="120"/>
      <c r="B178" s="154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6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</row>
    <row r="179" ht="15.75" customHeight="1">
      <c r="A179" s="120"/>
      <c r="B179" s="154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6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</row>
    <row r="180" ht="15.75" customHeight="1">
      <c r="A180" s="120"/>
      <c r="B180" s="154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6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</row>
    <row r="181" ht="15.75" customHeight="1">
      <c r="A181" s="120"/>
      <c r="B181" s="154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6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</row>
    <row r="182" ht="15.75" customHeight="1">
      <c r="A182" s="120"/>
      <c r="B182" s="154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6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</row>
    <row r="183" ht="15.75" customHeight="1">
      <c r="A183" s="120"/>
      <c r="B183" s="154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6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</row>
    <row r="184" ht="15.75" customHeight="1">
      <c r="A184" s="120"/>
      <c r="B184" s="154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6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</row>
    <row r="185" ht="15.75" customHeight="1">
      <c r="A185" s="120"/>
      <c r="B185" s="154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6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</row>
    <row r="186" ht="15.75" customHeight="1">
      <c r="A186" s="120"/>
      <c r="B186" s="154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6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</row>
    <row r="187" ht="15.75" customHeight="1">
      <c r="A187" s="120"/>
      <c r="B187" s="154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6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</row>
    <row r="188" ht="15.75" customHeight="1">
      <c r="A188" s="120"/>
      <c r="B188" s="154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6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</row>
    <row r="189" ht="15.75" customHeight="1">
      <c r="A189" s="120"/>
      <c r="B189" s="154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6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</row>
    <row r="190" ht="15.75" customHeight="1">
      <c r="A190" s="120"/>
      <c r="B190" s="154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6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</row>
    <row r="191" ht="15.75" customHeight="1">
      <c r="A191" s="120"/>
      <c r="B191" s="154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6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</row>
    <row r="192" ht="15.75" customHeight="1">
      <c r="A192" s="120"/>
      <c r="B192" s="154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6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</row>
    <row r="193" ht="15.75" customHeight="1">
      <c r="A193" s="120"/>
      <c r="B193" s="154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6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</row>
    <row r="194" ht="15.75" customHeight="1">
      <c r="A194" s="120"/>
      <c r="B194" s="154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6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</row>
    <row r="195" ht="15.75" customHeight="1">
      <c r="A195" s="120"/>
      <c r="B195" s="154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6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</row>
    <row r="196" ht="15.75" customHeight="1">
      <c r="A196" s="120"/>
      <c r="B196" s="154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6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</row>
    <row r="197" ht="15.75" customHeight="1">
      <c r="A197" s="120"/>
      <c r="B197" s="154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6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</row>
    <row r="198" ht="15.75" customHeight="1">
      <c r="A198" s="120"/>
      <c r="B198" s="154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6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</row>
    <row r="199" ht="15.75" customHeight="1">
      <c r="A199" s="120"/>
      <c r="B199" s="154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6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</row>
    <row r="200" ht="15.75" customHeight="1">
      <c r="A200" s="120"/>
      <c r="B200" s="154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6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</row>
    <row r="201" ht="15.75" customHeight="1">
      <c r="A201" s="120"/>
      <c r="B201" s="154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6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</row>
    <row r="202" ht="15.75" customHeight="1">
      <c r="A202" s="120"/>
      <c r="B202" s="154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6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</row>
    <row r="203" ht="15.75" customHeight="1">
      <c r="A203" s="120"/>
      <c r="B203" s="154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6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</row>
    <row r="204" ht="15.75" customHeight="1">
      <c r="A204" s="120"/>
      <c r="B204" s="154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6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</row>
    <row r="205" ht="15.75" customHeight="1">
      <c r="A205" s="120"/>
      <c r="B205" s="154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6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</row>
    <row r="206" ht="15.75" customHeight="1">
      <c r="A206" s="120"/>
      <c r="B206" s="154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6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</row>
    <row r="207" ht="15.75" customHeight="1">
      <c r="A207" s="120"/>
      <c r="B207" s="154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6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</row>
    <row r="208" ht="15.75" customHeight="1">
      <c r="A208" s="120"/>
      <c r="B208" s="154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6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</row>
    <row r="209" ht="15.75" customHeight="1">
      <c r="A209" s="120"/>
      <c r="B209" s="154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6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</row>
    <row r="210" ht="15.75" customHeight="1">
      <c r="A210" s="120"/>
      <c r="B210" s="154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6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</row>
    <row r="211" ht="15.75" customHeight="1">
      <c r="A211" s="120"/>
      <c r="B211" s="154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6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</row>
    <row r="212" ht="15.75" customHeight="1">
      <c r="A212" s="120"/>
      <c r="B212" s="154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6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</row>
    <row r="213" ht="15.75" customHeight="1">
      <c r="A213" s="120"/>
      <c r="B213" s="154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6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</row>
    <row r="214" ht="15.75" customHeight="1">
      <c r="A214" s="120"/>
      <c r="B214" s="154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6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</row>
    <row r="215" ht="15.75" customHeight="1">
      <c r="A215" s="120"/>
      <c r="B215" s="154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6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</row>
    <row r="216" ht="15.75" customHeight="1">
      <c r="A216" s="120"/>
      <c r="B216" s="154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6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</row>
    <row r="217" ht="15.75" customHeight="1">
      <c r="A217" s="120"/>
      <c r="B217" s="154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6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</row>
    <row r="218" ht="15.75" customHeight="1">
      <c r="A218" s="120"/>
      <c r="B218" s="154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6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</row>
    <row r="219" ht="15.75" customHeight="1">
      <c r="A219" s="120"/>
      <c r="B219" s="154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6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</row>
    <row r="220" ht="15.75" customHeight="1">
      <c r="A220" s="120"/>
      <c r="B220" s="154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6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</row>
    <row r="221" ht="15.75" customHeight="1">
      <c r="A221" s="120"/>
      <c r="B221" s="154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6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</row>
    <row r="222" ht="15.75" customHeight="1">
      <c r="A222" s="120"/>
      <c r="B222" s="154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6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</row>
    <row r="223" ht="15.75" customHeight="1">
      <c r="A223" s="120"/>
      <c r="B223" s="154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6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</row>
    <row r="224" ht="15.75" customHeight="1">
      <c r="A224" s="120"/>
      <c r="B224" s="154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6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</row>
    <row r="225" ht="15.75" customHeight="1">
      <c r="A225" s="120"/>
      <c r="B225" s="154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6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</row>
    <row r="226" ht="15.75" customHeight="1">
      <c r="A226" s="120"/>
      <c r="B226" s="154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6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</row>
    <row r="227" ht="15.75" customHeight="1">
      <c r="A227" s="120"/>
      <c r="B227" s="154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6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</row>
    <row r="228" ht="15.75" customHeight="1">
      <c r="A228" s="120"/>
      <c r="B228" s="154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6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</row>
    <row r="229" ht="15.75" customHeight="1">
      <c r="A229" s="120"/>
      <c r="B229" s="154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6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</row>
    <row r="230" ht="15.75" customHeight="1">
      <c r="A230" s="120"/>
      <c r="B230" s="154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6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</row>
    <row r="231" ht="15.75" customHeight="1">
      <c r="A231" s="120"/>
      <c r="B231" s="154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6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</row>
    <row r="232" ht="15.75" customHeight="1">
      <c r="A232" s="120"/>
      <c r="B232" s="154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6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</row>
    <row r="233" ht="15.75" customHeight="1">
      <c r="A233" s="120"/>
      <c r="B233" s="154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6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</row>
    <row r="234" ht="15.75" customHeight="1">
      <c r="A234" s="120"/>
      <c r="B234" s="154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6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</row>
    <row r="235" ht="15.75" customHeight="1">
      <c r="A235" s="120"/>
      <c r="B235" s="154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6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</row>
    <row r="236" ht="15.75" customHeight="1">
      <c r="A236" s="120"/>
      <c r="B236" s="154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6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</row>
    <row r="237" ht="15.75" customHeight="1">
      <c r="A237" s="120"/>
      <c r="B237" s="154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6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</row>
    <row r="238" ht="15.75" customHeight="1">
      <c r="A238" s="120"/>
      <c r="B238" s="154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6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</row>
    <row r="239" ht="15.75" customHeight="1">
      <c r="A239" s="120"/>
      <c r="B239" s="154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6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</row>
    <row r="240" ht="15.75" customHeight="1">
      <c r="A240" s="120"/>
      <c r="B240" s="154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6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</row>
    <row r="241" ht="15.75" customHeight="1">
      <c r="A241" s="120"/>
      <c r="B241" s="154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6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</row>
    <row r="242" ht="15.75" customHeight="1">
      <c r="A242" s="120"/>
      <c r="B242" s="154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6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</row>
    <row r="243" ht="15.75" customHeight="1">
      <c r="A243" s="120"/>
      <c r="B243" s="154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6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</row>
    <row r="244" ht="15.75" customHeight="1">
      <c r="A244" s="120"/>
      <c r="B244" s="154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6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</row>
    <row r="245" ht="15.75" customHeight="1">
      <c r="A245" s="120"/>
      <c r="B245" s="154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6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</row>
    <row r="246" ht="15.75" customHeight="1">
      <c r="A246" s="120"/>
      <c r="B246" s="154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6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V3:V4"/>
    <mergeCell ref="W3:W4"/>
    <mergeCell ref="X3:X4"/>
    <mergeCell ref="Y3:Y4"/>
    <mergeCell ref="Z3:Z4"/>
    <mergeCell ref="AA3:AA4"/>
    <mergeCell ref="Y19:Z19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4" width="12.63"/>
    <col customWidth="1" min="5" max="5" width="15.0"/>
    <col customWidth="1" min="6" max="6" width="12.63"/>
    <col customWidth="1" min="16" max="16" width="7.75"/>
    <col customWidth="1" min="17" max="17" width="26.38"/>
  </cols>
  <sheetData>
    <row r="1" ht="15.75" customHeight="1">
      <c r="A1" s="75" t="s">
        <v>191</v>
      </c>
      <c r="B1" s="68" t="s">
        <v>120</v>
      </c>
      <c r="C1" s="69"/>
      <c r="D1" s="69"/>
      <c r="E1" s="69"/>
      <c r="F1" s="69"/>
      <c r="G1" s="69"/>
      <c r="H1" s="69"/>
      <c r="I1" s="71"/>
      <c r="J1" s="70" t="s">
        <v>121</v>
      </c>
      <c r="K1" s="71"/>
      <c r="L1" s="157" t="s">
        <v>122</v>
      </c>
      <c r="M1" s="69"/>
      <c r="N1" s="69"/>
      <c r="O1" s="71"/>
      <c r="P1" s="73"/>
      <c r="Q1" s="73"/>
      <c r="R1" s="73"/>
      <c r="S1" s="73"/>
      <c r="T1" s="73"/>
      <c r="U1" s="73"/>
    </row>
    <row r="2" ht="15.75" customHeight="1">
      <c r="A2" s="49"/>
      <c r="B2" s="158" t="s">
        <v>192</v>
      </c>
      <c r="C2" s="158" t="s">
        <v>193</v>
      </c>
      <c r="D2" s="158" t="s">
        <v>194</v>
      </c>
      <c r="E2" s="158" t="s">
        <v>195</v>
      </c>
      <c r="F2" s="68" t="s">
        <v>196</v>
      </c>
      <c r="G2" s="68" t="s">
        <v>197</v>
      </c>
      <c r="H2" s="68" t="s">
        <v>198</v>
      </c>
      <c r="I2" s="68" t="s">
        <v>199</v>
      </c>
      <c r="J2" s="158" t="s">
        <v>127</v>
      </c>
      <c r="K2" s="158" t="s">
        <v>200</v>
      </c>
      <c r="L2" s="84" t="s">
        <v>133</v>
      </c>
      <c r="M2" s="84" t="s">
        <v>134</v>
      </c>
      <c r="N2" s="84" t="s">
        <v>135</v>
      </c>
      <c r="O2" s="84" t="s">
        <v>136</v>
      </c>
      <c r="P2" s="73"/>
      <c r="R2" s="73"/>
      <c r="S2" s="73"/>
      <c r="T2" s="73"/>
      <c r="U2" s="73"/>
    </row>
    <row r="3" ht="15.75" customHeight="1">
      <c r="A3" s="159">
        <v>45807.0</v>
      </c>
      <c r="B3" s="114">
        <v>10.0</v>
      </c>
      <c r="C3" s="101">
        <v>5.0</v>
      </c>
      <c r="D3" s="101">
        <v>5.0</v>
      </c>
      <c r="E3" s="101">
        <v>0.0</v>
      </c>
      <c r="F3" s="101">
        <v>10.0</v>
      </c>
      <c r="G3" s="101">
        <v>5.0</v>
      </c>
      <c r="H3" s="101">
        <v>15.0</v>
      </c>
      <c r="I3" s="101"/>
      <c r="J3" s="160">
        <f t="shared" ref="J3:J80" si="1">B3*R6+C3*R7+D3*R8+E3*R9+F3*R10+G3*R11+H3*R12+I3*R13</f>
        <v>2033</v>
      </c>
      <c r="K3" s="161"/>
      <c r="L3" s="162">
        <f t="shared" ref="L3:L80" si="2">J3</f>
        <v>2033</v>
      </c>
      <c r="M3" s="163"/>
      <c r="N3" s="101">
        <v>580.0</v>
      </c>
      <c r="O3" s="137">
        <f>((N3+M3)-((L3+0)*0.22))</f>
        <v>132.74</v>
      </c>
      <c r="P3" s="73"/>
      <c r="Q3" s="73"/>
      <c r="R3" s="73"/>
      <c r="S3" s="73"/>
      <c r="T3" s="73"/>
      <c r="U3" s="73"/>
    </row>
    <row r="4" ht="15.75" customHeight="1">
      <c r="A4" s="159"/>
      <c r="B4" s="114">
        <v>20.0</v>
      </c>
      <c r="C4" s="101"/>
      <c r="D4" s="101"/>
      <c r="E4" s="101">
        <v>10.0</v>
      </c>
      <c r="F4" s="101">
        <v>15.0</v>
      </c>
      <c r="G4" s="101">
        <v>10.0</v>
      </c>
      <c r="H4" s="101">
        <v>20.0</v>
      </c>
      <c r="I4" s="101"/>
      <c r="J4" s="160">
        <f t="shared" si="1"/>
        <v>3024</v>
      </c>
      <c r="K4" s="161"/>
      <c r="L4" s="162">
        <f t="shared" si="2"/>
        <v>3024</v>
      </c>
      <c r="M4" s="163"/>
      <c r="N4" s="101"/>
      <c r="O4" s="137">
        <f t="shared" ref="O4:O80" si="3">((N4+M4)-((L4+O3)*0.22))</f>
        <v>-694.4828</v>
      </c>
      <c r="P4" s="73"/>
      <c r="Q4" s="164" t="s">
        <v>94</v>
      </c>
      <c r="R4" s="164" t="s">
        <v>96</v>
      </c>
      <c r="S4" s="165" t="s">
        <v>201</v>
      </c>
      <c r="T4" s="165" t="s">
        <v>176</v>
      </c>
      <c r="U4" s="73"/>
    </row>
    <row r="5" ht="15.75" customHeight="1">
      <c r="A5" s="159"/>
      <c r="B5" s="114">
        <v>20.0</v>
      </c>
      <c r="C5" s="101"/>
      <c r="D5" s="101"/>
      <c r="E5" s="101"/>
      <c r="F5" s="101">
        <v>15.0</v>
      </c>
      <c r="G5" s="101"/>
      <c r="H5" s="101">
        <v>20.0</v>
      </c>
      <c r="I5" s="101"/>
      <c r="J5" s="166">
        <f t="shared" si="1"/>
        <v>1585</v>
      </c>
      <c r="K5" s="167"/>
      <c r="L5" s="162">
        <f t="shared" si="2"/>
        <v>1585</v>
      </c>
      <c r="M5" s="163"/>
      <c r="N5" s="101"/>
      <c r="O5" s="137">
        <f t="shared" si="3"/>
        <v>-195.913784</v>
      </c>
      <c r="P5" s="73"/>
      <c r="Q5" s="16"/>
      <c r="R5" s="16"/>
      <c r="S5" s="16"/>
      <c r="T5" s="16"/>
      <c r="U5" s="73"/>
    </row>
    <row r="6" ht="15.75" customHeight="1">
      <c r="A6" s="159"/>
      <c r="B6" s="114"/>
      <c r="C6" s="101"/>
      <c r="D6" s="101"/>
      <c r="E6" s="101"/>
      <c r="F6" s="101"/>
      <c r="G6" s="101"/>
      <c r="H6" s="101"/>
      <c r="I6" s="101"/>
      <c r="J6" s="160">
        <f t="shared" si="1"/>
        <v>0</v>
      </c>
      <c r="K6" s="167"/>
      <c r="L6" s="162">
        <f t="shared" si="2"/>
        <v>0</v>
      </c>
      <c r="M6" s="163"/>
      <c r="N6" s="101"/>
      <c r="O6" s="137">
        <f t="shared" si="3"/>
        <v>43.10103248</v>
      </c>
      <c r="P6" s="73"/>
      <c r="Q6" s="168" t="s">
        <v>202</v>
      </c>
      <c r="R6" s="169">
        <v>30.0</v>
      </c>
      <c r="S6" s="169">
        <f t="shared" ref="S6:S13" si="4">R6*1.3</f>
        <v>39</v>
      </c>
      <c r="T6" s="169">
        <v>40.0</v>
      </c>
      <c r="U6" s="73" t="s">
        <v>203</v>
      </c>
    </row>
    <row r="7" ht="15.75" customHeight="1">
      <c r="A7" s="159"/>
      <c r="B7" s="114"/>
      <c r="C7" s="101"/>
      <c r="D7" s="101"/>
      <c r="E7" s="101"/>
      <c r="F7" s="101"/>
      <c r="G7" s="101"/>
      <c r="H7" s="101"/>
      <c r="I7" s="101"/>
      <c r="J7" s="160">
        <f t="shared" si="1"/>
        <v>0</v>
      </c>
      <c r="K7" s="170"/>
      <c r="L7" s="162">
        <f t="shared" si="2"/>
        <v>0</v>
      </c>
      <c r="M7" s="163"/>
      <c r="N7" s="101"/>
      <c r="O7" s="137">
        <f t="shared" si="3"/>
        <v>-9.482227146</v>
      </c>
      <c r="P7" s="73"/>
      <c r="Q7" s="168" t="s">
        <v>204</v>
      </c>
      <c r="R7" s="169">
        <v>43.0</v>
      </c>
      <c r="S7" s="169">
        <f t="shared" si="4"/>
        <v>55.9</v>
      </c>
      <c r="T7" s="169">
        <v>60.0</v>
      </c>
      <c r="U7" s="73" t="s">
        <v>205</v>
      </c>
    </row>
    <row r="8" ht="15.75" customHeight="1">
      <c r="A8" s="159"/>
      <c r="B8" s="114"/>
      <c r="C8" s="101"/>
      <c r="D8" s="101"/>
      <c r="E8" s="101"/>
      <c r="F8" s="101"/>
      <c r="G8" s="101"/>
      <c r="H8" s="101"/>
      <c r="I8" s="101"/>
      <c r="J8" s="160">
        <f t="shared" si="1"/>
        <v>0</v>
      </c>
      <c r="K8" s="170"/>
      <c r="L8" s="162">
        <f t="shared" si="2"/>
        <v>0</v>
      </c>
      <c r="M8" s="163"/>
      <c r="N8" s="101"/>
      <c r="O8" s="137">
        <f t="shared" si="3"/>
        <v>2.086089972</v>
      </c>
      <c r="P8" s="73"/>
      <c r="Q8" s="168" t="s">
        <v>206</v>
      </c>
      <c r="R8" s="169">
        <v>35.0</v>
      </c>
      <c r="S8" s="169">
        <f t="shared" si="4"/>
        <v>45.5</v>
      </c>
      <c r="T8" s="169">
        <v>50.0</v>
      </c>
      <c r="U8" s="73" t="s">
        <v>207</v>
      </c>
    </row>
    <row r="9" ht="15.75" customHeight="1">
      <c r="A9" s="159"/>
      <c r="B9" s="114"/>
      <c r="C9" s="101"/>
      <c r="D9" s="101"/>
      <c r="E9" s="101"/>
      <c r="F9" s="101"/>
      <c r="G9" s="101"/>
      <c r="H9" s="101"/>
      <c r="I9" s="101"/>
      <c r="J9" s="160">
        <f t="shared" si="1"/>
        <v>0</v>
      </c>
      <c r="K9" s="170"/>
      <c r="L9" s="162">
        <f t="shared" si="2"/>
        <v>0</v>
      </c>
      <c r="M9" s="163"/>
      <c r="N9" s="101"/>
      <c r="O9" s="137">
        <f t="shared" si="3"/>
        <v>-0.4589397938</v>
      </c>
      <c r="P9" s="73"/>
      <c r="Q9" s="168" t="s">
        <v>208</v>
      </c>
      <c r="R9" s="169">
        <f>185/4</f>
        <v>46.25</v>
      </c>
      <c r="S9" s="169">
        <f t="shared" si="4"/>
        <v>60.125</v>
      </c>
      <c r="T9" s="169">
        <v>60.0</v>
      </c>
      <c r="U9" s="73" t="s">
        <v>205</v>
      </c>
    </row>
    <row r="10" ht="15.75" customHeight="1">
      <c r="A10" s="159"/>
      <c r="B10" s="114"/>
      <c r="C10" s="101"/>
      <c r="D10" s="101"/>
      <c r="E10" s="101"/>
      <c r="F10" s="101"/>
      <c r="G10" s="101"/>
      <c r="H10" s="101"/>
      <c r="I10" s="101"/>
      <c r="J10" s="160">
        <f t="shared" si="1"/>
        <v>0</v>
      </c>
      <c r="K10" s="170"/>
      <c r="L10" s="162">
        <f t="shared" si="2"/>
        <v>0</v>
      </c>
      <c r="M10" s="163"/>
      <c r="N10" s="101"/>
      <c r="O10" s="137">
        <f t="shared" si="3"/>
        <v>0.1009667546</v>
      </c>
      <c r="P10" s="73"/>
      <c r="Q10" s="168" t="s">
        <v>209</v>
      </c>
      <c r="R10" s="169">
        <v>25.0</v>
      </c>
      <c r="S10" s="169">
        <f t="shared" si="4"/>
        <v>32.5</v>
      </c>
      <c r="T10" s="169">
        <v>40.0</v>
      </c>
      <c r="U10" s="73" t="s">
        <v>203</v>
      </c>
    </row>
    <row r="11" ht="15.75" customHeight="1">
      <c r="A11" s="159"/>
      <c r="B11" s="114"/>
      <c r="C11" s="101"/>
      <c r="D11" s="101"/>
      <c r="E11" s="101"/>
      <c r="F11" s="101"/>
      <c r="G11" s="101"/>
      <c r="H11" s="101"/>
      <c r="I11" s="101"/>
      <c r="J11" s="160">
        <f t="shared" si="1"/>
        <v>0</v>
      </c>
      <c r="K11" s="170"/>
      <c r="L11" s="162">
        <f t="shared" si="2"/>
        <v>0</v>
      </c>
      <c r="M11" s="163"/>
      <c r="N11" s="101"/>
      <c r="O11" s="137">
        <f t="shared" si="3"/>
        <v>-0.02221268602</v>
      </c>
      <c r="P11" s="73"/>
      <c r="Q11" s="168" t="s">
        <v>210</v>
      </c>
      <c r="R11" s="169">
        <f>41.6</f>
        <v>41.6</v>
      </c>
      <c r="S11" s="169">
        <f t="shared" si="4"/>
        <v>54.08</v>
      </c>
      <c r="T11" s="169">
        <v>55.0</v>
      </c>
      <c r="U11" s="73" t="s">
        <v>205</v>
      </c>
    </row>
    <row r="12" ht="15.75" customHeight="1">
      <c r="A12" s="159"/>
      <c r="B12" s="114"/>
      <c r="C12" s="101"/>
      <c r="D12" s="101"/>
      <c r="E12" s="101"/>
      <c r="F12" s="101"/>
      <c r="G12" s="101"/>
      <c r="H12" s="101"/>
      <c r="I12" s="101"/>
      <c r="J12" s="160">
        <f t="shared" si="1"/>
        <v>0</v>
      </c>
      <c r="K12" s="171"/>
      <c r="L12" s="162">
        <f t="shared" si="2"/>
        <v>0</v>
      </c>
      <c r="M12" s="163"/>
      <c r="N12" s="101"/>
      <c r="O12" s="137">
        <f t="shared" si="3"/>
        <v>0.004886790925</v>
      </c>
      <c r="P12" s="73"/>
      <c r="Q12" s="168" t="s">
        <v>211</v>
      </c>
      <c r="R12" s="169">
        <f>59</f>
        <v>59</v>
      </c>
      <c r="S12" s="169">
        <f t="shared" si="4"/>
        <v>76.7</v>
      </c>
      <c r="T12" s="169">
        <v>80.0</v>
      </c>
      <c r="U12" s="73" t="s">
        <v>212</v>
      </c>
    </row>
    <row r="13" ht="42.75" customHeight="1">
      <c r="A13" s="159"/>
      <c r="B13" s="114"/>
      <c r="C13" s="101"/>
      <c r="D13" s="101"/>
      <c r="E13" s="101"/>
      <c r="F13" s="101"/>
      <c r="G13" s="101"/>
      <c r="H13" s="101"/>
      <c r="I13" s="101"/>
      <c r="J13" s="160">
        <f t="shared" si="1"/>
        <v>0</v>
      </c>
      <c r="K13" s="171"/>
      <c r="L13" s="162">
        <f t="shared" si="2"/>
        <v>0</v>
      </c>
      <c r="M13" s="163"/>
      <c r="N13" s="101"/>
      <c r="O13" s="137">
        <f t="shared" si="3"/>
        <v>-0.001075094003</v>
      </c>
      <c r="P13" s="73"/>
      <c r="Q13" s="168" t="s">
        <v>213</v>
      </c>
      <c r="R13" s="169">
        <v>35.0</v>
      </c>
      <c r="S13" s="169">
        <f t="shared" si="4"/>
        <v>45.5</v>
      </c>
      <c r="T13" s="169">
        <v>50.0</v>
      </c>
      <c r="U13" s="73" t="s">
        <v>207</v>
      </c>
    </row>
    <row r="14" ht="15.75" customHeight="1">
      <c r="A14" s="159"/>
      <c r="B14" s="114"/>
      <c r="C14" s="101"/>
      <c r="D14" s="101"/>
      <c r="E14" s="101"/>
      <c r="F14" s="101"/>
      <c r="G14" s="101"/>
      <c r="H14" s="101"/>
      <c r="I14" s="101"/>
      <c r="J14" s="160">
        <f t="shared" si="1"/>
        <v>0</v>
      </c>
      <c r="K14" s="167"/>
      <c r="L14" s="162">
        <f t="shared" si="2"/>
        <v>0</v>
      </c>
      <c r="M14" s="163"/>
      <c r="N14" s="101"/>
      <c r="O14" s="137">
        <f t="shared" si="3"/>
        <v>0.0002365206808</v>
      </c>
      <c r="P14" s="73"/>
      <c r="Q14" s="73"/>
      <c r="R14" s="73"/>
      <c r="S14" s="73"/>
      <c r="T14" s="73"/>
      <c r="U14" s="73"/>
    </row>
    <row r="15" ht="15.75" customHeight="1">
      <c r="A15" s="159"/>
      <c r="B15" s="114"/>
      <c r="C15" s="101"/>
      <c r="D15" s="101"/>
      <c r="E15" s="101"/>
      <c r="F15" s="101"/>
      <c r="G15" s="101"/>
      <c r="H15" s="101"/>
      <c r="I15" s="101"/>
      <c r="J15" s="160">
        <f t="shared" si="1"/>
        <v>0</v>
      </c>
      <c r="K15" s="171"/>
      <c r="L15" s="162">
        <f t="shared" si="2"/>
        <v>0</v>
      </c>
      <c r="M15" s="163"/>
      <c r="N15" s="101"/>
      <c r="O15" s="137">
        <f t="shared" si="3"/>
        <v>-0.00005203454977</v>
      </c>
      <c r="P15" s="73"/>
      <c r="Q15" s="73"/>
      <c r="R15" s="73"/>
      <c r="S15" s="73"/>
      <c r="T15" s="73"/>
      <c r="U15" s="73"/>
    </row>
    <row r="16" ht="15.75" customHeight="1">
      <c r="A16" s="159"/>
      <c r="B16" s="114"/>
      <c r="C16" s="101"/>
      <c r="D16" s="101"/>
      <c r="E16" s="101"/>
      <c r="F16" s="101"/>
      <c r="G16" s="101"/>
      <c r="H16" s="101"/>
      <c r="I16" s="101"/>
      <c r="J16" s="160">
        <f t="shared" si="1"/>
        <v>0</v>
      </c>
      <c r="K16" s="171"/>
      <c r="L16" s="162">
        <f t="shared" si="2"/>
        <v>0</v>
      </c>
      <c r="M16" s="163"/>
      <c r="N16" s="101"/>
      <c r="O16" s="137">
        <f t="shared" si="3"/>
        <v>0.00001144760095</v>
      </c>
      <c r="P16" s="73"/>
      <c r="Q16" s="73"/>
      <c r="R16" s="73"/>
      <c r="S16" s="73"/>
      <c r="T16" s="73"/>
      <c r="U16" s="73"/>
    </row>
    <row r="17" ht="15.75" customHeight="1">
      <c r="A17" s="159"/>
      <c r="B17" s="114"/>
      <c r="C17" s="101"/>
      <c r="D17" s="101"/>
      <c r="E17" s="101"/>
      <c r="F17" s="101"/>
      <c r="G17" s="101"/>
      <c r="H17" s="101"/>
      <c r="I17" s="101"/>
      <c r="J17" s="160">
        <f t="shared" si="1"/>
        <v>0</v>
      </c>
      <c r="K17" s="170"/>
      <c r="L17" s="162">
        <f t="shared" si="2"/>
        <v>0</v>
      </c>
      <c r="M17" s="163"/>
      <c r="N17" s="101"/>
      <c r="O17" s="137">
        <f t="shared" si="3"/>
        <v>-0.000002518472209</v>
      </c>
      <c r="P17" s="73"/>
      <c r="Q17" s="73"/>
      <c r="R17" s="73"/>
      <c r="S17" s="73"/>
      <c r="T17" s="73"/>
      <c r="U17" s="73"/>
    </row>
    <row r="18" ht="15.75" customHeight="1">
      <c r="A18" s="159"/>
      <c r="B18" s="114"/>
      <c r="C18" s="101"/>
      <c r="D18" s="101"/>
      <c r="E18" s="101"/>
      <c r="F18" s="101"/>
      <c r="G18" s="101"/>
      <c r="H18" s="101"/>
      <c r="I18" s="101"/>
      <c r="J18" s="160">
        <f t="shared" si="1"/>
        <v>0</v>
      </c>
      <c r="K18" s="170"/>
      <c r="L18" s="162">
        <f t="shared" si="2"/>
        <v>0</v>
      </c>
      <c r="M18" s="163"/>
      <c r="N18" s="101"/>
      <c r="O18" s="137">
        <f t="shared" si="3"/>
        <v>0.0000005540638859</v>
      </c>
      <c r="P18" s="73"/>
      <c r="Q18" s="73"/>
      <c r="R18" s="73"/>
      <c r="S18" s="73"/>
      <c r="T18" s="73"/>
      <c r="U18" s="73"/>
    </row>
    <row r="19" ht="15.75" customHeight="1">
      <c r="A19" s="159"/>
      <c r="B19" s="114"/>
      <c r="C19" s="101"/>
      <c r="D19" s="101"/>
      <c r="E19" s="101"/>
      <c r="F19" s="101"/>
      <c r="G19" s="101"/>
      <c r="H19" s="101"/>
      <c r="I19" s="101"/>
      <c r="J19" s="160">
        <f t="shared" si="1"/>
        <v>0</v>
      </c>
      <c r="K19" s="170"/>
      <c r="L19" s="162">
        <f t="shared" si="2"/>
        <v>0</v>
      </c>
      <c r="M19" s="163"/>
      <c r="N19" s="101"/>
      <c r="O19" s="137">
        <f t="shared" si="3"/>
        <v>-0.0000001218940549</v>
      </c>
      <c r="P19" s="73"/>
      <c r="Q19" s="73"/>
      <c r="R19" s="73"/>
      <c r="S19" s="73"/>
      <c r="T19" s="73"/>
      <c r="U19" s="73"/>
    </row>
    <row r="20" ht="15.75" customHeight="1">
      <c r="A20" s="159"/>
      <c r="B20" s="114"/>
      <c r="C20" s="101"/>
      <c r="D20" s="101"/>
      <c r="E20" s="101"/>
      <c r="F20" s="101"/>
      <c r="G20" s="101"/>
      <c r="H20" s="101"/>
      <c r="I20" s="101"/>
      <c r="J20" s="160">
        <f t="shared" si="1"/>
        <v>0</v>
      </c>
      <c r="K20" s="170"/>
      <c r="L20" s="162">
        <f t="shared" si="2"/>
        <v>0</v>
      </c>
      <c r="M20" s="163"/>
      <c r="N20" s="101"/>
      <c r="O20" s="137">
        <f t="shared" si="3"/>
        <v>0.00000002681669208</v>
      </c>
      <c r="P20" s="73"/>
      <c r="Q20" s="73"/>
      <c r="R20" s="73"/>
      <c r="S20" s="73"/>
      <c r="T20" s="73"/>
      <c r="U20" s="73"/>
    </row>
    <row r="21" ht="15.75" customHeight="1">
      <c r="A21" s="159"/>
      <c r="B21" s="114"/>
      <c r="C21" s="101"/>
      <c r="D21" s="101"/>
      <c r="E21" s="101"/>
      <c r="F21" s="101"/>
      <c r="G21" s="101"/>
      <c r="H21" s="101"/>
      <c r="I21" s="101"/>
      <c r="J21" s="160">
        <f t="shared" si="1"/>
        <v>0</v>
      </c>
      <c r="K21" s="161"/>
      <c r="L21" s="162">
        <f t="shared" si="2"/>
        <v>0</v>
      </c>
      <c r="M21" s="163"/>
      <c r="N21" s="101"/>
      <c r="O21" s="137">
        <f t="shared" si="3"/>
        <v>-0.000000005899672257</v>
      </c>
      <c r="P21" s="73"/>
      <c r="Q21" s="73"/>
      <c r="R21" s="73"/>
      <c r="S21" s="73"/>
      <c r="T21" s="73"/>
      <c r="U21" s="73"/>
    </row>
    <row r="22" ht="15.75" customHeight="1">
      <c r="A22" s="159"/>
      <c r="B22" s="114"/>
      <c r="C22" s="101"/>
      <c r="D22" s="101"/>
      <c r="E22" s="101"/>
      <c r="F22" s="101"/>
      <c r="G22" s="101"/>
      <c r="H22" s="101"/>
      <c r="I22" s="101"/>
      <c r="J22" s="160">
        <f t="shared" si="1"/>
        <v>0</v>
      </c>
      <c r="K22" s="171"/>
      <c r="L22" s="162">
        <f t="shared" si="2"/>
        <v>0</v>
      </c>
      <c r="M22" s="163"/>
      <c r="N22" s="101"/>
      <c r="O22" s="137">
        <f t="shared" si="3"/>
        <v>0.000000001297927897</v>
      </c>
      <c r="P22" s="73"/>
      <c r="Q22" s="73"/>
      <c r="R22" s="73"/>
      <c r="S22" s="73"/>
      <c r="T22" s="73"/>
      <c r="U22" s="73"/>
    </row>
    <row r="23" ht="15.75" customHeight="1">
      <c r="A23" s="159"/>
      <c r="B23" s="114"/>
      <c r="C23" s="101"/>
      <c r="D23" s="101"/>
      <c r="E23" s="101"/>
      <c r="F23" s="101"/>
      <c r="G23" s="101"/>
      <c r="H23" s="101"/>
      <c r="I23" s="101"/>
      <c r="J23" s="160">
        <f t="shared" si="1"/>
        <v>0</v>
      </c>
      <c r="K23" s="171"/>
      <c r="L23" s="162">
        <f t="shared" si="2"/>
        <v>0</v>
      </c>
      <c r="M23" s="163"/>
      <c r="N23" s="101"/>
      <c r="O23" s="137">
        <f t="shared" si="3"/>
        <v>-0.0000000002855441373</v>
      </c>
      <c r="P23" s="73"/>
      <c r="Q23" s="73"/>
      <c r="R23" s="73"/>
      <c r="S23" s="73"/>
      <c r="T23" s="73"/>
      <c r="U23" s="73"/>
    </row>
    <row r="24" ht="15.75" customHeight="1">
      <c r="A24" s="159"/>
      <c r="B24" s="114"/>
      <c r="C24" s="101"/>
      <c r="D24" s="101"/>
      <c r="E24" s="101"/>
      <c r="F24" s="101"/>
      <c r="G24" s="101"/>
      <c r="H24" s="101"/>
      <c r="I24" s="101"/>
      <c r="J24" s="160">
        <f t="shared" si="1"/>
        <v>0</v>
      </c>
      <c r="K24" s="171"/>
      <c r="L24" s="162">
        <f t="shared" si="2"/>
        <v>0</v>
      </c>
      <c r="M24" s="163"/>
      <c r="N24" s="101"/>
      <c r="O24" s="137">
        <f t="shared" si="3"/>
        <v>0</v>
      </c>
      <c r="P24" s="73"/>
      <c r="Q24" s="73"/>
      <c r="R24" s="73"/>
      <c r="S24" s="73"/>
      <c r="T24" s="73"/>
      <c r="U24" s="73"/>
    </row>
    <row r="25" ht="15.75" customHeight="1">
      <c r="A25" s="159"/>
      <c r="B25" s="114"/>
      <c r="C25" s="101"/>
      <c r="D25" s="101"/>
      <c r="E25" s="101"/>
      <c r="F25" s="101"/>
      <c r="G25" s="101"/>
      <c r="H25" s="101"/>
      <c r="I25" s="101"/>
      <c r="J25" s="160">
        <f t="shared" si="1"/>
        <v>0</v>
      </c>
      <c r="K25" s="171"/>
      <c r="L25" s="162">
        <f t="shared" si="2"/>
        <v>0</v>
      </c>
      <c r="M25" s="163"/>
      <c r="N25" s="101"/>
      <c r="O25" s="137">
        <f t="shared" si="3"/>
        <v>0</v>
      </c>
      <c r="P25" s="73"/>
      <c r="Q25" s="73"/>
      <c r="R25" s="73"/>
      <c r="S25" s="73"/>
      <c r="T25" s="73"/>
      <c r="U25" s="73"/>
    </row>
    <row r="26" ht="15.75" customHeight="1">
      <c r="A26" s="159"/>
      <c r="B26" s="114"/>
      <c r="C26" s="101"/>
      <c r="D26" s="101"/>
      <c r="E26" s="101"/>
      <c r="F26" s="101"/>
      <c r="G26" s="101"/>
      <c r="H26" s="101"/>
      <c r="I26" s="101"/>
      <c r="J26" s="160">
        <f t="shared" si="1"/>
        <v>0</v>
      </c>
      <c r="K26" s="171"/>
      <c r="L26" s="162">
        <f t="shared" si="2"/>
        <v>0</v>
      </c>
      <c r="M26" s="163"/>
      <c r="N26" s="101"/>
      <c r="O26" s="137">
        <f t="shared" si="3"/>
        <v>0</v>
      </c>
      <c r="P26" s="73"/>
      <c r="Q26" s="73"/>
      <c r="R26" s="73"/>
      <c r="S26" s="73"/>
      <c r="T26" s="73"/>
      <c r="U26" s="73"/>
    </row>
    <row r="27" ht="15.75" customHeight="1">
      <c r="A27" s="159"/>
      <c r="B27" s="114"/>
      <c r="C27" s="101"/>
      <c r="D27" s="101"/>
      <c r="E27" s="101"/>
      <c r="F27" s="101"/>
      <c r="G27" s="101"/>
      <c r="H27" s="101"/>
      <c r="I27" s="101"/>
      <c r="J27" s="160">
        <f t="shared" si="1"/>
        <v>0</v>
      </c>
      <c r="K27" s="171"/>
      <c r="L27" s="162">
        <f t="shared" si="2"/>
        <v>0</v>
      </c>
      <c r="M27" s="163"/>
      <c r="N27" s="101"/>
      <c r="O27" s="137">
        <f t="shared" si="3"/>
        <v>0</v>
      </c>
      <c r="P27" s="73"/>
      <c r="Q27" s="73"/>
      <c r="R27" s="73"/>
      <c r="S27" s="73"/>
      <c r="T27" s="73"/>
      <c r="U27" s="73"/>
    </row>
    <row r="28" ht="15.75" customHeight="1">
      <c r="A28" s="159"/>
      <c r="B28" s="114"/>
      <c r="C28" s="101"/>
      <c r="D28" s="101"/>
      <c r="E28" s="101"/>
      <c r="F28" s="101"/>
      <c r="G28" s="101"/>
      <c r="H28" s="101"/>
      <c r="I28" s="101"/>
      <c r="J28" s="160">
        <f t="shared" si="1"/>
        <v>0</v>
      </c>
      <c r="K28" s="171"/>
      <c r="L28" s="162">
        <f t="shared" si="2"/>
        <v>0</v>
      </c>
      <c r="M28" s="163"/>
      <c r="N28" s="101"/>
      <c r="O28" s="137">
        <f t="shared" si="3"/>
        <v>0</v>
      </c>
      <c r="P28" s="73"/>
      <c r="Q28" s="73"/>
      <c r="R28" s="73"/>
      <c r="S28" s="73"/>
      <c r="T28" s="73"/>
      <c r="U28" s="73"/>
    </row>
    <row r="29" ht="15.75" customHeight="1">
      <c r="A29" s="159"/>
      <c r="B29" s="114"/>
      <c r="C29" s="101"/>
      <c r="D29" s="101"/>
      <c r="E29" s="101"/>
      <c r="F29" s="101"/>
      <c r="G29" s="101"/>
      <c r="H29" s="101"/>
      <c r="I29" s="101"/>
      <c r="J29" s="160">
        <f t="shared" si="1"/>
        <v>0</v>
      </c>
      <c r="K29" s="171"/>
      <c r="L29" s="162">
        <f t="shared" si="2"/>
        <v>0</v>
      </c>
      <c r="M29" s="163"/>
      <c r="N29" s="101"/>
      <c r="O29" s="137">
        <f t="shared" si="3"/>
        <v>0</v>
      </c>
      <c r="P29" s="73"/>
      <c r="Q29" s="73"/>
      <c r="R29" s="73"/>
      <c r="S29" s="73"/>
      <c r="T29" s="73"/>
      <c r="U29" s="73"/>
    </row>
    <row r="30" ht="15.75" customHeight="1">
      <c r="A30" s="159"/>
      <c r="B30" s="114"/>
      <c r="C30" s="101"/>
      <c r="D30" s="101"/>
      <c r="E30" s="101"/>
      <c r="F30" s="101"/>
      <c r="G30" s="101"/>
      <c r="H30" s="101"/>
      <c r="I30" s="101"/>
      <c r="J30" s="160">
        <f t="shared" si="1"/>
        <v>0</v>
      </c>
      <c r="K30" s="171"/>
      <c r="L30" s="162">
        <f t="shared" si="2"/>
        <v>0</v>
      </c>
      <c r="M30" s="163"/>
      <c r="N30" s="101"/>
      <c r="O30" s="137">
        <f t="shared" si="3"/>
        <v>0</v>
      </c>
      <c r="P30" s="172"/>
      <c r="Q30" s="73"/>
      <c r="R30" s="73"/>
      <c r="S30" s="73"/>
      <c r="T30" s="73"/>
      <c r="U30" s="73"/>
    </row>
    <row r="31" ht="15.75" customHeight="1">
      <c r="A31" s="159"/>
      <c r="B31" s="114"/>
      <c r="C31" s="101"/>
      <c r="D31" s="101"/>
      <c r="E31" s="101"/>
      <c r="F31" s="101"/>
      <c r="G31" s="101"/>
      <c r="H31" s="101"/>
      <c r="I31" s="101"/>
      <c r="J31" s="160">
        <f t="shared" si="1"/>
        <v>0</v>
      </c>
      <c r="K31" s="171"/>
      <c r="L31" s="162">
        <f t="shared" si="2"/>
        <v>0</v>
      </c>
      <c r="M31" s="163"/>
      <c r="N31" s="101"/>
      <c r="O31" s="137">
        <f t="shared" si="3"/>
        <v>0</v>
      </c>
      <c r="P31" s="73"/>
      <c r="Q31" s="73"/>
      <c r="R31" s="73"/>
      <c r="S31" s="73"/>
      <c r="T31" s="73"/>
      <c r="U31" s="73"/>
    </row>
    <row r="32" ht="15.75" customHeight="1">
      <c r="A32" s="159"/>
      <c r="B32" s="114"/>
      <c r="C32" s="101"/>
      <c r="D32" s="101"/>
      <c r="E32" s="101"/>
      <c r="F32" s="101"/>
      <c r="G32" s="101"/>
      <c r="H32" s="101"/>
      <c r="I32" s="101"/>
      <c r="J32" s="160">
        <f t="shared" si="1"/>
        <v>0</v>
      </c>
      <c r="K32" s="171"/>
      <c r="L32" s="162">
        <f t="shared" si="2"/>
        <v>0</v>
      </c>
      <c r="M32" s="163"/>
      <c r="N32" s="101"/>
      <c r="O32" s="137">
        <f t="shared" si="3"/>
        <v>0</v>
      </c>
      <c r="P32" s="73"/>
      <c r="Q32" s="73"/>
      <c r="R32" s="73"/>
      <c r="S32" s="73"/>
      <c r="T32" s="73"/>
      <c r="U32" s="73"/>
    </row>
    <row r="33" ht="15.75" customHeight="1">
      <c r="A33" s="159"/>
      <c r="B33" s="114"/>
      <c r="C33" s="101"/>
      <c r="D33" s="101"/>
      <c r="E33" s="101"/>
      <c r="F33" s="101"/>
      <c r="G33" s="101"/>
      <c r="H33" s="101"/>
      <c r="I33" s="101"/>
      <c r="J33" s="160">
        <f t="shared" si="1"/>
        <v>0</v>
      </c>
      <c r="K33" s="171"/>
      <c r="L33" s="162">
        <f t="shared" si="2"/>
        <v>0</v>
      </c>
      <c r="M33" s="163"/>
      <c r="N33" s="101"/>
      <c r="O33" s="137">
        <f t="shared" si="3"/>
        <v>0</v>
      </c>
      <c r="P33" s="73"/>
      <c r="Q33" s="73"/>
      <c r="R33" s="73"/>
      <c r="S33" s="73"/>
      <c r="T33" s="73"/>
      <c r="U33" s="73"/>
    </row>
    <row r="34" ht="15.75" customHeight="1">
      <c r="A34" s="159"/>
      <c r="B34" s="114"/>
      <c r="C34" s="101"/>
      <c r="D34" s="101"/>
      <c r="E34" s="101"/>
      <c r="F34" s="101"/>
      <c r="G34" s="101"/>
      <c r="H34" s="101"/>
      <c r="I34" s="101"/>
      <c r="J34" s="160">
        <f t="shared" si="1"/>
        <v>0</v>
      </c>
      <c r="K34" s="171"/>
      <c r="L34" s="162">
        <f t="shared" si="2"/>
        <v>0</v>
      </c>
      <c r="M34" s="163"/>
      <c r="N34" s="101"/>
      <c r="O34" s="137">
        <f t="shared" si="3"/>
        <v>0</v>
      </c>
      <c r="P34" s="73"/>
      <c r="Q34" s="73"/>
      <c r="R34" s="73"/>
      <c r="S34" s="73"/>
      <c r="T34" s="73"/>
      <c r="U34" s="73"/>
    </row>
    <row r="35" ht="15.75" customHeight="1">
      <c r="A35" s="159"/>
      <c r="B35" s="114"/>
      <c r="C35" s="101"/>
      <c r="D35" s="101"/>
      <c r="E35" s="101"/>
      <c r="F35" s="101"/>
      <c r="G35" s="101"/>
      <c r="H35" s="101"/>
      <c r="I35" s="101"/>
      <c r="J35" s="160">
        <f t="shared" si="1"/>
        <v>0</v>
      </c>
      <c r="K35" s="171"/>
      <c r="L35" s="162">
        <f t="shared" si="2"/>
        <v>0</v>
      </c>
      <c r="M35" s="163"/>
      <c r="N35" s="101"/>
      <c r="O35" s="137">
        <f t="shared" si="3"/>
        <v>0</v>
      </c>
      <c r="P35" s="73"/>
      <c r="Q35" s="73"/>
      <c r="R35" s="73"/>
      <c r="S35" s="73"/>
      <c r="T35" s="73"/>
      <c r="U35" s="73"/>
    </row>
    <row r="36" ht="15.75" customHeight="1">
      <c r="A36" s="159"/>
      <c r="B36" s="114"/>
      <c r="C36" s="101"/>
      <c r="D36" s="101"/>
      <c r="E36" s="101"/>
      <c r="F36" s="101"/>
      <c r="G36" s="101"/>
      <c r="H36" s="101"/>
      <c r="I36" s="101"/>
      <c r="J36" s="160">
        <f t="shared" si="1"/>
        <v>0</v>
      </c>
      <c r="K36" s="171"/>
      <c r="L36" s="162">
        <f t="shared" si="2"/>
        <v>0</v>
      </c>
      <c r="M36" s="163"/>
      <c r="N36" s="101"/>
      <c r="O36" s="137">
        <f t="shared" si="3"/>
        <v>0</v>
      </c>
      <c r="P36" s="73"/>
      <c r="Q36" s="73"/>
      <c r="R36" s="73"/>
      <c r="S36" s="73"/>
      <c r="T36" s="73"/>
      <c r="U36" s="73"/>
    </row>
    <row r="37" ht="15.75" customHeight="1">
      <c r="A37" s="159"/>
      <c r="B37" s="114"/>
      <c r="C37" s="101"/>
      <c r="D37" s="101"/>
      <c r="E37" s="101"/>
      <c r="F37" s="101"/>
      <c r="G37" s="101"/>
      <c r="H37" s="101"/>
      <c r="I37" s="101"/>
      <c r="J37" s="160">
        <f t="shared" si="1"/>
        <v>0</v>
      </c>
      <c r="K37" s="171"/>
      <c r="L37" s="162">
        <f t="shared" si="2"/>
        <v>0</v>
      </c>
      <c r="M37" s="163"/>
      <c r="N37" s="101"/>
      <c r="O37" s="137">
        <f t="shared" si="3"/>
        <v>0</v>
      </c>
      <c r="P37" s="73"/>
      <c r="Q37" s="73"/>
      <c r="R37" s="73"/>
      <c r="S37" s="73"/>
      <c r="T37" s="73"/>
      <c r="U37" s="73"/>
    </row>
    <row r="38" ht="15.75" customHeight="1">
      <c r="A38" s="159"/>
      <c r="B38" s="114"/>
      <c r="C38" s="101"/>
      <c r="D38" s="101"/>
      <c r="E38" s="101"/>
      <c r="F38" s="101"/>
      <c r="G38" s="101"/>
      <c r="H38" s="101"/>
      <c r="I38" s="101"/>
      <c r="J38" s="160">
        <f t="shared" si="1"/>
        <v>0</v>
      </c>
      <c r="K38" s="171"/>
      <c r="L38" s="162">
        <f t="shared" si="2"/>
        <v>0</v>
      </c>
      <c r="M38" s="163"/>
      <c r="N38" s="101"/>
      <c r="O38" s="137">
        <f t="shared" si="3"/>
        <v>0</v>
      </c>
      <c r="P38" s="73"/>
      <c r="Q38" s="73"/>
      <c r="R38" s="73"/>
      <c r="S38" s="73"/>
      <c r="T38" s="73"/>
      <c r="U38" s="73"/>
    </row>
    <row r="39" ht="15.75" customHeight="1">
      <c r="A39" s="159"/>
      <c r="B39" s="114"/>
      <c r="C39" s="101"/>
      <c r="D39" s="101"/>
      <c r="E39" s="101"/>
      <c r="F39" s="101"/>
      <c r="G39" s="101"/>
      <c r="H39" s="101"/>
      <c r="I39" s="101"/>
      <c r="J39" s="160">
        <f t="shared" si="1"/>
        <v>0</v>
      </c>
      <c r="K39" s="171"/>
      <c r="L39" s="162">
        <f t="shared" si="2"/>
        <v>0</v>
      </c>
      <c r="M39" s="163"/>
      <c r="N39" s="101"/>
      <c r="O39" s="137">
        <f t="shared" si="3"/>
        <v>0</v>
      </c>
      <c r="P39" s="73"/>
      <c r="Q39" s="73"/>
      <c r="R39" s="73"/>
      <c r="S39" s="73"/>
      <c r="T39" s="73"/>
      <c r="U39" s="73"/>
    </row>
    <row r="40" ht="15.75" customHeight="1">
      <c r="A40" s="159"/>
      <c r="B40" s="114"/>
      <c r="C40" s="101"/>
      <c r="D40" s="101"/>
      <c r="E40" s="101"/>
      <c r="F40" s="101"/>
      <c r="G40" s="101"/>
      <c r="H40" s="101"/>
      <c r="I40" s="101"/>
      <c r="J40" s="160">
        <f t="shared" si="1"/>
        <v>0</v>
      </c>
      <c r="K40" s="171"/>
      <c r="L40" s="162">
        <f t="shared" si="2"/>
        <v>0</v>
      </c>
      <c r="M40" s="163"/>
      <c r="N40" s="101"/>
      <c r="O40" s="137">
        <f t="shared" si="3"/>
        <v>0</v>
      </c>
      <c r="P40" s="73"/>
      <c r="Q40" s="73"/>
      <c r="R40" s="73"/>
      <c r="S40" s="73"/>
      <c r="T40" s="73"/>
      <c r="U40" s="73"/>
    </row>
    <row r="41" ht="15.75" customHeight="1">
      <c r="A41" s="159"/>
      <c r="B41" s="114"/>
      <c r="C41" s="101"/>
      <c r="D41" s="101"/>
      <c r="E41" s="101"/>
      <c r="F41" s="101"/>
      <c r="G41" s="101"/>
      <c r="H41" s="101"/>
      <c r="I41" s="101"/>
      <c r="J41" s="160">
        <f t="shared" si="1"/>
        <v>0</v>
      </c>
      <c r="K41" s="171"/>
      <c r="L41" s="162">
        <f t="shared" si="2"/>
        <v>0</v>
      </c>
      <c r="M41" s="163"/>
      <c r="N41" s="101"/>
      <c r="O41" s="137">
        <f t="shared" si="3"/>
        <v>0</v>
      </c>
      <c r="P41" s="73"/>
      <c r="Q41" s="73"/>
      <c r="R41" s="73"/>
      <c r="S41" s="73"/>
      <c r="T41" s="73"/>
      <c r="U41" s="73"/>
    </row>
    <row r="42" ht="15.75" customHeight="1">
      <c r="A42" s="159"/>
      <c r="B42" s="114"/>
      <c r="C42" s="101"/>
      <c r="D42" s="101"/>
      <c r="E42" s="101"/>
      <c r="F42" s="101"/>
      <c r="G42" s="101"/>
      <c r="H42" s="101"/>
      <c r="I42" s="101"/>
      <c r="J42" s="160">
        <f t="shared" si="1"/>
        <v>0</v>
      </c>
      <c r="K42" s="171"/>
      <c r="L42" s="162">
        <f t="shared" si="2"/>
        <v>0</v>
      </c>
      <c r="M42" s="163"/>
      <c r="N42" s="101"/>
      <c r="O42" s="137">
        <f t="shared" si="3"/>
        <v>0</v>
      </c>
      <c r="P42" s="73"/>
      <c r="Q42" s="73"/>
      <c r="R42" s="73"/>
      <c r="S42" s="73"/>
      <c r="T42" s="73"/>
      <c r="U42" s="73"/>
    </row>
    <row r="43" ht="15.75" customHeight="1">
      <c r="A43" s="159"/>
      <c r="B43" s="114"/>
      <c r="C43" s="101"/>
      <c r="D43" s="101"/>
      <c r="E43" s="101"/>
      <c r="F43" s="101"/>
      <c r="G43" s="101"/>
      <c r="H43" s="101"/>
      <c r="I43" s="101"/>
      <c r="J43" s="160">
        <f t="shared" si="1"/>
        <v>0</v>
      </c>
      <c r="K43" s="171"/>
      <c r="L43" s="162">
        <f t="shared" si="2"/>
        <v>0</v>
      </c>
      <c r="M43" s="163"/>
      <c r="N43" s="101"/>
      <c r="O43" s="137">
        <f t="shared" si="3"/>
        <v>0</v>
      </c>
      <c r="P43" s="73"/>
      <c r="Q43" s="73"/>
      <c r="R43" s="73"/>
      <c r="S43" s="73"/>
      <c r="T43" s="73"/>
      <c r="U43" s="73"/>
    </row>
    <row r="44" ht="15.75" customHeight="1">
      <c r="A44" s="159"/>
      <c r="B44" s="114"/>
      <c r="C44" s="101"/>
      <c r="D44" s="101"/>
      <c r="E44" s="101"/>
      <c r="F44" s="101"/>
      <c r="G44" s="101"/>
      <c r="H44" s="101"/>
      <c r="I44" s="101"/>
      <c r="J44" s="160">
        <f t="shared" si="1"/>
        <v>0</v>
      </c>
      <c r="K44" s="171"/>
      <c r="L44" s="162">
        <f t="shared" si="2"/>
        <v>0</v>
      </c>
      <c r="M44" s="163"/>
      <c r="N44" s="101"/>
      <c r="O44" s="137">
        <f t="shared" si="3"/>
        <v>0</v>
      </c>
      <c r="P44" s="73"/>
      <c r="Q44" s="73"/>
      <c r="R44" s="73"/>
      <c r="S44" s="73"/>
      <c r="T44" s="73"/>
      <c r="U44" s="73"/>
    </row>
    <row r="45" ht="15.75" customHeight="1">
      <c r="A45" s="159"/>
      <c r="B45" s="114"/>
      <c r="C45" s="101"/>
      <c r="D45" s="101"/>
      <c r="E45" s="101"/>
      <c r="F45" s="101"/>
      <c r="G45" s="101"/>
      <c r="H45" s="101"/>
      <c r="I45" s="101"/>
      <c r="J45" s="160">
        <f t="shared" si="1"/>
        <v>0</v>
      </c>
      <c r="K45" s="171"/>
      <c r="L45" s="162">
        <f t="shared" si="2"/>
        <v>0</v>
      </c>
      <c r="M45" s="163"/>
      <c r="N45" s="101"/>
      <c r="O45" s="137">
        <f t="shared" si="3"/>
        <v>0</v>
      </c>
      <c r="P45" s="73"/>
      <c r="Q45" s="73"/>
      <c r="R45" s="73"/>
      <c r="S45" s="73"/>
      <c r="T45" s="73"/>
      <c r="U45" s="73"/>
    </row>
    <row r="46" ht="15.75" customHeight="1">
      <c r="A46" s="159"/>
      <c r="B46" s="114"/>
      <c r="C46" s="101"/>
      <c r="D46" s="101"/>
      <c r="E46" s="101"/>
      <c r="F46" s="101"/>
      <c r="G46" s="101"/>
      <c r="H46" s="101"/>
      <c r="I46" s="101"/>
      <c r="J46" s="160">
        <f t="shared" si="1"/>
        <v>0</v>
      </c>
      <c r="K46" s="171"/>
      <c r="L46" s="162">
        <f t="shared" si="2"/>
        <v>0</v>
      </c>
      <c r="M46" s="163"/>
      <c r="N46" s="101"/>
      <c r="O46" s="137">
        <f t="shared" si="3"/>
        <v>0</v>
      </c>
      <c r="P46" s="73"/>
      <c r="Q46" s="73"/>
      <c r="R46" s="73"/>
      <c r="S46" s="73"/>
      <c r="T46" s="73"/>
      <c r="U46" s="73"/>
    </row>
    <row r="47" ht="15.75" customHeight="1">
      <c r="A47" s="159"/>
      <c r="B47" s="114"/>
      <c r="C47" s="101"/>
      <c r="D47" s="101"/>
      <c r="E47" s="101"/>
      <c r="F47" s="101"/>
      <c r="G47" s="101"/>
      <c r="H47" s="101"/>
      <c r="I47" s="101"/>
      <c r="J47" s="160">
        <f t="shared" si="1"/>
        <v>0</v>
      </c>
      <c r="K47" s="171"/>
      <c r="L47" s="162">
        <f t="shared" si="2"/>
        <v>0</v>
      </c>
      <c r="M47" s="163"/>
      <c r="N47" s="101"/>
      <c r="O47" s="137">
        <f t="shared" si="3"/>
        <v>0</v>
      </c>
      <c r="P47" s="73"/>
      <c r="Q47" s="73"/>
      <c r="R47" s="73"/>
      <c r="S47" s="73"/>
      <c r="T47" s="73"/>
      <c r="U47" s="73"/>
    </row>
    <row r="48" ht="15.75" customHeight="1">
      <c r="A48" s="159"/>
      <c r="B48" s="114"/>
      <c r="C48" s="101"/>
      <c r="D48" s="101"/>
      <c r="E48" s="101"/>
      <c r="F48" s="101"/>
      <c r="G48" s="101"/>
      <c r="H48" s="101"/>
      <c r="I48" s="101"/>
      <c r="J48" s="160">
        <f t="shared" si="1"/>
        <v>0</v>
      </c>
      <c r="K48" s="171"/>
      <c r="L48" s="162">
        <f t="shared" si="2"/>
        <v>0</v>
      </c>
      <c r="M48" s="163"/>
      <c r="N48" s="101"/>
      <c r="O48" s="137">
        <f t="shared" si="3"/>
        <v>0</v>
      </c>
      <c r="P48" s="73"/>
      <c r="Q48" s="73"/>
      <c r="R48" s="73"/>
      <c r="S48" s="73"/>
      <c r="T48" s="73"/>
      <c r="U48" s="73"/>
    </row>
    <row r="49" ht="15.75" customHeight="1">
      <c r="A49" s="159"/>
      <c r="B49" s="114"/>
      <c r="C49" s="101"/>
      <c r="D49" s="101"/>
      <c r="E49" s="101"/>
      <c r="F49" s="101"/>
      <c r="G49" s="101"/>
      <c r="H49" s="101"/>
      <c r="I49" s="101"/>
      <c r="J49" s="160">
        <f t="shared" si="1"/>
        <v>0</v>
      </c>
      <c r="K49" s="171"/>
      <c r="L49" s="162">
        <f t="shared" si="2"/>
        <v>0</v>
      </c>
      <c r="M49" s="163"/>
      <c r="N49" s="101"/>
      <c r="O49" s="137">
        <f t="shared" si="3"/>
        <v>0</v>
      </c>
      <c r="P49" s="73"/>
      <c r="Q49" s="73"/>
      <c r="R49" s="73"/>
      <c r="S49" s="73"/>
      <c r="T49" s="73"/>
      <c r="U49" s="73"/>
    </row>
    <row r="50" ht="15.75" customHeight="1">
      <c r="A50" s="159"/>
      <c r="B50" s="114"/>
      <c r="C50" s="101"/>
      <c r="D50" s="101"/>
      <c r="E50" s="101"/>
      <c r="F50" s="101"/>
      <c r="G50" s="101"/>
      <c r="H50" s="101"/>
      <c r="I50" s="101"/>
      <c r="J50" s="160">
        <f t="shared" si="1"/>
        <v>0</v>
      </c>
      <c r="K50" s="171"/>
      <c r="L50" s="162">
        <f t="shared" si="2"/>
        <v>0</v>
      </c>
      <c r="M50" s="163"/>
      <c r="N50" s="101"/>
      <c r="O50" s="137">
        <f t="shared" si="3"/>
        <v>0</v>
      </c>
      <c r="P50" s="73"/>
      <c r="Q50" s="73"/>
      <c r="R50" s="73"/>
      <c r="S50" s="73"/>
      <c r="T50" s="73"/>
      <c r="U50" s="73"/>
    </row>
    <row r="51" ht="15.75" customHeight="1">
      <c r="A51" s="159"/>
      <c r="B51" s="114"/>
      <c r="C51" s="101"/>
      <c r="D51" s="101"/>
      <c r="E51" s="101"/>
      <c r="F51" s="101"/>
      <c r="G51" s="101"/>
      <c r="H51" s="101"/>
      <c r="I51" s="101"/>
      <c r="J51" s="160">
        <f t="shared" si="1"/>
        <v>0</v>
      </c>
      <c r="K51" s="171"/>
      <c r="L51" s="162">
        <f t="shared" si="2"/>
        <v>0</v>
      </c>
      <c r="M51" s="163"/>
      <c r="N51" s="101"/>
      <c r="O51" s="137">
        <f t="shared" si="3"/>
        <v>0</v>
      </c>
      <c r="P51" s="73"/>
      <c r="Q51" s="73"/>
      <c r="R51" s="73"/>
      <c r="S51" s="73"/>
      <c r="T51" s="73"/>
      <c r="U51" s="73"/>
    </row>
    <row r="52" ht="15.75" customHeight="1">
      <c r="A52" s="159"/>
      <c r="B52" s="114"/>
      <c r="C52" s="101"/>
      <c r="D52" s="101"/>
      <c r="E52" s="101"/>
      <c r="F52" s="101"/>
      <c r="G52" s="101"/>
      <c r="H52" s="101"/>
      <c r="I52" s="101"/>
      <c r="J52" s="160">
        <f t="shared" si="1"/>
        <v>0</v>
      </c>
      <c r="K52" s="171"/>
      <c r="L52" s="162">
        <f t="shared" si="2"/>
        <v>0</v>
      </c>
      <c r="M52" s="163"/>
      <c r="N52" s="101"/>
      <c r="O52" s="137">
        <f t="shared" si="3"/>
        <v>0</v>
      </c>
      <c r="P52" s="73"/>
      <c r="Q52" s="73"/>
      <c r="R52" s="73"/>
      <c r="S52" s="73"/>
      <c r="T52" s="73"/>
      <c r="U52" s="73"/>
    </row>
    <row r="53" ht="15.75" customHeight="1">
      <c r="A53" s="159"/>
      <c r="B53" s="114"/>
      <c r="C53" s="101"/>
      <c r="D53" s="101"/>
      <c r="E53" s="101"/>
      <c r="F53" s="101"/>
      <c r="G53" s="101"/>
      <c r="H53" s="101"/>
      <c r="I53" s="101"/>
      <c r="J53" s="160">
        <f t="shared" si="1"/>
        <v>0</v>
      </c>
      <c r="K53" s="171"/>
      <c r="L53" s="162">
        <f t="shared" si="2"/>
        <v>0</v>
      </c>
      <c r="M53" s="163"/>
      <c r="N53" s="101"/>
      <c r="O53" s="137">
        <f t="shared" si="3"/>
        <v>0</v>
      </c>
      <c r="P53" s="73"/>
      <c r="Q53" s="73"/>
      <c r="R53" s="73"/>
      <c r="S53" s="73"/>
      <c r="T53" s="73"/>
      <c r="U53" s="73"/>
    </row>
    <row r="54" ht="15.75" customHeight="1">
      <c r="A54" s="159"/>
      <c r="B54" s="114"/>
      <c r="C54" s="101"/>
      <c r="D54" s="101"/>
      <c r="E54" s="101"/>
      <c r="F54" s="101"/>
      <c r="G54" s="101"/>
      <c r="H54" s="101"/>
      <c r="I54" s="101"/>
      <c r="J54" s="160">
        <f t="shared" si="1"/>
        <v>0</v>
      </c>
      <c r="K54" s="171"/>
      <c r="L54" s="162">
        <f t="shared" si="2"/>
        <v>0</v>
      </c>
      <c r="M54" s="163"/>
      <c r="N54" s="101"/>
      <c r="O54" s="137">
        <f t="shared" si="3"/>
        <v>0</v>
      </c>
      <c r="P54" s="73"/>
      <c r="Q54" s="73"/>
      <c r="R54" s="73"/>
      <c r="S54" s="73"/>
      <c r="T54" s="73"/>
      <c r="U54" s="73"/>
    </row>
    <row r="55" ht="15.75" customHeight="1">
      <c r="A55" s="159"/>
      <c r="B55" s="114"/>
      <c r="C55" s="101"/>
      <c r="D55" s="101"/>
      <c r="E55" s="101"/>
      <c r="F55" s="101"/>
      <c r="G55" s="101"/>
      <c r="H55" s="101"/>
      <c r="I55" s="101"/>
      <c r="J55" s="160">
        <f t="shared" si="1"/>
        <v>0</v>
      </c>
      <c r="K55" s="171"/>
      <c r="L55" s="162">
        <f t="shared" si="2"/>
        <v>0</v>
      </c>
      <c r="M55" s="163"/>
      <c r="N55" s="101"/>
      <c r="O55" s="137">
        <f t="shared" si="3"/>
        <v>0</v>
      </c>
      <c r="P55" s="73"/>
      <c r="Q55" s="73"/>
      <c r="R55" s="73"/>
      <c r="S55" s="73"/>
      <c r="T55" s="73"/>
      <c r="U55" s="73"/>
    </row>
    <row r="56" ht="15.75" customHeight="1">
      <c r="A56" s="159"/>
      <c r="B56" s="114"/>
      <c r="C56" s="101"/>
      <c r="D56" s="101"/>
      <c r="E56" s="101"/>
      <c r="F56" s="101"/>
      <c r="G56" s="101"/>
      <c r="H56" s="101"/>
      <c r="I56" s="101"/>
      <c r="J56" s="160">
        <f t="shared" si="1"/>
        <v>0</v>
      </c>
      <c r="K56" s="171"/>
      <c r="L56" s="162">
        <f t="shared" si="2"/>
        <v>0</v>
      </c>
      <c r="M56" s="163"/>
      <c r="N56" s="101"/>
      <c r="O56" s="137">
        <f t="shared" si="3"/>
        <v>0</v>
      </c>
      <c r="P56" s="73"/>
      <c r="Q56" s="73"/>
      <c r="R56" s="73"/>
      <c r="S56" s="73"/>
      <c r="T56" s="73"/>
      <c r="U56" s="73"/>
    </row>
    <row r="57" ht="15.75" customHeight="1">
      <c r="A57" s="159"/>
      <c r="B57" s="114"/>
      <c r="C57" s="101"/>
      <c r="D57" s="101"/>
      <c r="E57" s="101"/>
      <c r="F57" s="101"/>
      <c r="G57" s="101"/>
      <c r="H57" s="101"/>
      <c r="I57" s="101"/>
      <c r="J57" s="160">
        <f t="shared" si="1"/>
        <v>0</v>
      </c>
      <c r="K57" s="171"/>
      <c r="L57" s="162">
        <f t="shared" si="2"/>
        <v>0</v>
      </c>
      <c r="M57" s="163"/>
      <c r="N57" s="101"/>
      <c r="O57" s="137">
        <f t="shared" si="3"/>
        <v>0</v>
      </c>
      <c r="P57" s="73"/>
      <c r="Q57" s="73"/>
      <c r="R57" s="73"/>
      <c r="S57" s="73"/>
      <c r="T57" s="73"/>
      <c r="U57" s="73"/>
    </row>
    <row r="58" ht="15.75" customHeight="1">
      <c r="A58" s="159"/>
      <c r="B58" s="114"/>
      <c r="C58" s="101"/>
      <c r="D58" s="101"/>
      <c r="E58" s="101"/>
      <c r="F58" s="101"/>
      <c r="G58" s="101"/>
      <c r="H58" s="101"/>
      <c r="I58" s="101"/>
      <c r="J58" s="160">
        <f t="shared" si="1"/>
        <v>0</v>
      </c>
      <c r="K58" s="171"/>
      <c r="L58" s="162">
        <f t="shared" si="2"/>
        <v>0</v>
      </c>
      <c r="M58" s="163"/>
      <c r="N58" s="101"/>
      <c r="O58" s="137">
        <f t="shared" si="3"/>
        <v>0</v>
      </c>
      <c r="P58" s="172"/>
      <c r="Q58" s="73"/>
      <c r="R58" s="73"/>
      <c r="S58" s="73"/>
      <c r="T58" s="73"/>
      <c r="U58" s="73"/>
    </row>
    <row r="59" ht="15.75" customHeight="1">
      <c r="A59" s="159"/>
      <c r="B59" s="114"/>
      <c r="C59" s="101"/>
      <c r="D59" s="101"/>
      <c r="E59" s="101"/>
      <c r="F59" s="101"/>
      <c r="G59" s="101"/>
      <c r="H59" s="101"/>
      <c r="I59" s="101"/>
      <c r="J59" s="160">
        <f t="shared" si="1"/>
        <v>0</v>
      </c>
      <c r="K59" s="171"/>
      <c r="L59" s="162">
        <f t="shared" si="2"/>
        <v>0</v>
      </c>
      <c r="M59" s="163"/>
      <c r="N59" s="101"/>
      <c r="O59" s="137">
        <f t="shared" si="3"/>
        <v>0</v>
      </c>
      <c r="P59" s="73"/>
      <c r="Q59" s="73"/>
      <c r="R59" s="73"/>
      <c r="S59" s="73"/>
      <c r="T59" s="73"/>
      <c r="U59" s="73"/>
    </row>
    <row r="60" ht="15.75" customHeight="1">
      <c r="A60" s="159"/>
      <c r="B60" s="114"/>
      <c r="C60" s="101"/>
      <c r="D60" s="101"/>
      <c r="E60" s="101"/>
      <c r="F60" s="101"/>
      <c r="G60" s="101"/>
      <c r="H60" s="101"/>
      <c r="I60" s="101"/>
      <c r="J60" s="160">
        <f t="shared" si="1"/>
        <v>0</v>
      </c>
      <c r="K60" s="171"/>
      <c r="L60" s="162">
        <f t="shared" si="2"/>
        <v>0</v>
      </c>
      <c r="M60" s="163"/>
      <c r="N60" s="101"/>
      <c r="O60" s="137">
        <f t="shared" si="3"/>
        <v>0</v>
      </c>
      <c r="P60" s="73"/>
      <c r="Q60" s="73"/>
      <c r="R60" s="73"/>
      <c r="S60" s="73"/>
      <c r="T60" s="73"/>
      <c r="U60" s="73"/>
    </row>
    <row r="61" ht="15.75" customHeight="1">
      <c r="A61" s="159"/>
      <c r="B61" s="114"/>
      <c r="C61" s="101"/>
      <c r="D61" s="101"/>
      <c r="E61" s="101"/>
      <c r="F61" s="101"/>
      <c r="G61" s="101"/>
      <c r="H61" s="101"/>
      <c r="I61" s="101"/>
      <c r="J61" s="160">
        <f t="shared" si="1"/>
        <v>0</v>
      </c>
      <c r="K61" s="171"/>
      <c r="L61" s="162">
        <f t="shared" si="2"/>
        <v>0</v>
      </c>
      <c r="M61" s="163"/>
      <c r="N61" s="101"/>
      <c r="O61" s="137">
        <f t="shared" si="3"/>
        <v>0</v>
      </c>
      <c r="P61" s="73"/>
      <c r="Q61" s="73"/>
      <c r="R61" s="73"/>
      <c r="S61" s="73"/>
      <c r="T61" s="73"/>
      <c r="U61" s="73"/>
    </row>
    <row r="62" ht="15.75" customHeight="1">
      <c r="A62" s="159"/>
      <c r="B62" s="114"/>
      <c r="C62" s="101"/>
      <c r="D62" s="101"/>
      <c r="E62" s="101"/>
      <c r="F62" s="101"/>
      <c r="G62" s="101"/>
      <c r="H62" s="101"/>
      <c r="I62" s="101"/>
      <c r="J62" s="160">
        <f t="shared" si="1"/>
        <v>0</v>
      </c>
      <c r="K62" s="171"/>
      <c r="L62" s="162">
        <f t="shared" si="2"/>
        <v>0</v>
      </c>
      <c r="M62" s="163"/>
      <c r="N62" s="101"/>
      <c r="O62" s="137">
        <f t="shared" si="3"/>
        <v>0</v>
      </c>
      <c r="P62" s="73"/>
      <c r="Q62" s="73"/>
      <c r="R62" s="73"/>
      <c r="S62" s="73"/>
      <c r="T62" s="73"/>
      <c r="U62" s="73"/>
    </row>
    <row r="63" ht="15.75" customHeight="1">
      <c r="A63" s="159"/>
      <c r="B63" s="114"/>
      <c r="C63" s="101"/>
      <c r="D63" s="101"/>
      <c r="E63" s="101"/>
      <c r="F63" s="101"/>
      <c r="G63" s="101"/>
      <c r="H63" s="101"/>
      <c r="I63" s="101"/>
      <c r="J63" s="160">
        <f t="shared" si="1"/>
        <v>0</v>
      </c>
      <c r="K63" s="171"/>
      <c r="L63" s="162">
        <f t="shared" si="2"/>
        <v>0</v>
      </c>
      <c r="M63" s="163"/>
      <c r="N63" s="101"/>
      <c r="O63" s="137">
        <f t="shared" si="3"/>
        <v>0</v>
      </c>
      <c r="P63" s="73"/>
      <c r="Q63" s="73"/>
      <c r="R63" s="73"/>
      <c r="S63" s="73"/>
      <c r="T63" s="73"/>
      <c r="U63" s="73"/>
    </row>
    <row r="64" ht="15.75" customHeight="1">
      <c r="A64" s="159"/>
      <c r="B64" s="114"/>
      <c r="C64" s="101"/>
      <c r="D64" s="101"/>
      <c r="E64" s="101"/>
      <c r="F64" s="101"/>
      <c r="G64" s="101"/>
      <c r="H64" s="101"/>
      <c r="I64" s="101"/>
      <c r="J64" s="160">
        <f t="shared" si="1"/>
        <v>0</v>
      </c>
      <c r="K64" s="171"/>
      <c r="L64" s="162">
        <f t="shared" si="2"/>
        <v>0</v>
      </c>
      <c r="M64" s="163"/>
      <c r="N64" s="101"/>
      <c r="O64" s="137">
        <f t="shared" si="3"/>
        <v>0</v>
      </c>
      <c r="P64" s="73"/>
      <c r="Q64" s="73"/>
      <c r="R64" s="73"/>
      <c r="S64" s="73"/>
      <c r="T64" s="73"/>
      <c r="U64" s="73"/>
    </row>
    <row r="65" ht="15.75" customHeight="1">
      <c r="A65" s="159"/>
      <c r="B65" s="114"/>
      <c r="C65" s="101"/>
      <c r="D65" s="101"/>
      <c r="E65" s="101"/>
      <c r="F65" s="101"/>
      <c r="G65" s="101"/>
      <c r="H65" s="101"/>
      <c r="I65" s="101"/>
      <c r="J65" s="160">
        <f t="shared" si="1"/>
        <v>0</v>
      </c>
      <c r="K65" s="171"/>
      <c r="L65" s="162">
        <f t="shared" si="2"/>
        <v>0</v>
      </c>
      <c r="M65" s="163"/>
      <c r="N65" s="101"/>
      <c r="O65" s="137">
        <f t="shared" si="3"/>
        <v>0</v>
      </c>
      <c r="P65" s="73"/>
      <c r="Q65" s="73"/>
      <c r="R65" s="73"/>
      <c r="S65" s="73"/>
      <c r="T65" s="73"/>
      <c r="U65" s="73"/>
    </row>
    <row r="66" ht="15.75" customHeight="1">
      <c r="A66" s="159"/>
      <c r="B66" s="114"/>
      <c r="C66" s="101"/>
      <c r="D66" s="101"/>
      <c r="E66" s="101"/>
      <c r="F66" s="101"/>
      <c r="G66" s="101"/>
      <c r="H66" s="101"/>
      <c r="I66" s="101"/>
      <c r="J66" s="160">
        <f t="shared" si="1"/>
        <v>0</v>
      </c>
      <c r="K66" s="171"/>
      <c r="L66" s="162">
        <f t="shared" si="2"/>
        <v>0</v>
      </c>
      <c r="M66" s="163"/>
      <c r="N66" s="101"/>
      <c r="O66" s="137">
        <f t="shared" si="3"/>
        <v>0</v>
      </c>
      <c r="P66" s="73"/>
      <c r="Q66" s="73"/>
      <c r="R66" s="73"/>
      <c r="S66" s="73"/>
      <c r="T66" s="73"/>
      <c r="U66" s="73"/>
    </row>
    <row r="67" ht="15.75" customHeight="1">
      <c r="A67" s="159"/>
      <c r="B67" s="114"/>
      <c r="C67" s="101"/>
      <c r="D67" s="101"/>
      <c r="E67" s="101"/>
      <c r="F67" s="101"/>
      <c r="G67" s="101"/>
      <c r="H67" s="101"/>
      <c r="I67" s="101"/>
      <c r="J67" s="160">
        <f t="shared" si="1"/>
        <v>0</v>
      </c>
      <c r="K67" s="171"/>
      <c r="L67" s="162">
        <f t="shared" si="2"/>
        <v>0</v>
      </c>
      <c r="M67" s="163"/>
      <c r="N67" s="101"/>
      <c r="O67" s="137">
        <f t="shared" si="3"/>
        <v>0</v>
      </c>
      <c r="P67" s="73"/>
      <c r="Q67" s="73"/>
      <c r="R67" s="73"/>
      <c r="S67" s="73"/>
      <c r="T67" s="73"/>
      <c r="U67" s="73"/>
    </row>
    <row r="68" ht="15.75" customHeight="1">
      <c r="A68" s="159"/>
      <c r="B68" s="114"/>
      <c r="C68" s="101"/>
      <c r="D68" s="101"/>
      <c r="E68" s="101"/>
      <c r="F68" s="101"/>
      <c r="G68" s="101"/>
      <c r="H68" s="101"/>
      <c r="I68" s="101"/>
      <c r="J68" s="160">
        <f t="shared" si="1"/>
        <v>0</v>
      </c>
      <c r="K68" s="171"/>
      <c r="L68" s="162">
        <f t="shared" si="2"/>
        <v>0</v>
      </c>
      <c r="M68" s="163"/>
      <c r="N68" s="101"/>
      <c r="O68" s="137">
        <f t="shared" si="3"/>
        <v>0</v>
      </c>
      <c r="P68" s="73"/>
      <c r="Q68" s="73"/>
      <c r="R68" s="73"/>
      <c r="S68" s="73"/>
      <c r="T68" s="73"/>
      <c r="U68" s="73"/>
    </row>
    <row r="69" ht="15.75" customHeight="1">
      <c r="A69" s="159"/>
      <c r="B69" s="114"/>
      <c r="C69" s="101"/>
      <c r="D69" s="101"/>
      <c r="E69" s="101"/>
      <c r="F69" s="101"/>
      <c r="G69" s="101"/>
      <c r="H69" s="101"/>
      <c r="I69" s="101"/>
      <c r="J69" s="160">
        <f t="shared" si="1"/>
        <v>0</v>
      </c>
      <c r="K69" s="171"/>
      <c r="L69" s="162">
        <f t="shared" si="2"/>
        <v>0</v>
      </c>
      <c r="M69" s="163"/>
      <c r="N69" s="101"/>
      <c r="O69" s="137">
        <f t="shared" si="3"/>
        <v>0</v>
      </c>
      <c r="P69" s="73"/>
      <c r="Q69" s="73"/>
      <c r="R69" s="73"/>
      <c r="S69" s="73"/>
      <c r="T69" s="73"/>
      <c r="U69" s="73"/>
    </row>
    <row r="70" ht="15.75" customHeight="1">
      <c r="A70" s="159"/>
      <c r="B70" s="114"/>
      <c r="C70" s="101"/>
      <c r="D70" s="101"/>
      <c r="E70" s="101"/>
      <c r="F70" s="101"/>
      <c r="G70" s="101"/>
      <c r="H70" s="101"/>
      <c r="I70" s="101"/>
      <c r="J70" s="160">
        <f t="shared" si="1"/>
        <v>0</v>
      </c>
      <c r="K70" s="171"/>
      <c r="L70" s="162">
        <f t="shared" si="2"/>
        <v>0</v>
      </c>
      <c r="M70" s="163"/>
      <c r="N70" s="101"/>
      <c r="O70" s="137">
        <f t="shared" si="3"/>
        <v>0</v>
      </c>
      <c r="P70" s="73"/>
      <c r="Q70" s="73"/>
      <c r="R70" s="73"/>
      <c r="S70" s="73"/>
      <c r="T70" s="73"/>
      <c r="U70" s="73"/>
    </row>
    <row r="71" ht="15.75" customHeight="1">
      <c r="A71" s="159"/>
      <c r="B71" s="114"/>
      <c r="C71" s="101"/>
      <c r="D71" s="101"/>
      <c r="E71" s="101"/>
      <c r="F71" s="101"/>
      <c r="G71" s="101"/>
      <c r="H71" s="101"/>
      <c r="I71" s="101"/>
      <c r="J71" s="160">
        <f t="shared" si="1"/>
        <v>0</v>
      </c>
      <c r="K71" s="171"/>
      <c r="L71" s="162">
        <f t="shared" si="2"/>
        <v>0</v>
      </c>
      <c r="M71" s="163"/>
      <c r="N71" s="101"/>
      <c r="O71" s="137">
        <f t="shared" si="3"/>
        <v>0</v>
      </c>
      <c r="P71" s="73"/>
      <c r="Q71" s="73"/>
      <c r="R71" s="73"/>
      <c r="S71" s="73"/>
      <c r="T71" s="73"/>
      <c r="U71" s="73"/>
    </row>
    <row r="72" ht="15.75" customHeight="1">
      <c r="A72" s="159"/>
      <c r="B72" s="114"/>
      <c r="C72" s="101"/>
      <c r="D72" s="101"/>
      <c r="E72" s="101"/>
      <c r="F72" s="101"/>
      <c r="G72" s="101"/>
      <c r="H72" s="101"/>
      <c r="I72" s="101"/>
      <c r="J72" s="160">
        <f t="shared" si="1"/>
        <v>0</v>
      </c>
      <c r="K72" s="171"/>
      <c r="L72" s="162">
        <f t="shared" si="2"/>
        <v>0</v>
      </c>
      <c r="M72" s="163"/>
      <c r="N72" s="101"/>
      <c r="O72" s="137">
        <f t="shared" si="3"/>
        <v>0</v>
      </c>
      <c r="P72" s="73"/>
      <c r="Q72" s="73"/>
      <c r="R72" s="73"/>
      <c r="S72" s="73"/>
      <c r="T72" s="73"/>
      <c r="U72" s="73"/>
    </row>
    <row r="73" ht="15.75" customHeight="1">
      <c r="A73" s="159"/>
      <c r="B73" s="114"/>
      <c r="C73" s="101"/>
      <c r="D73" s="101"/>
      <c r="E73" s="101"/>
      <c r="F73" s="101"/>
      <c r="G73" s="101"/>
      <c r="H73" s="101"/>
      <c r="I73" s="101"/>
      <c r="J73" s="160">
        <f t="shared" si="1"/>
        <v>0</v>
      </c>
      <c r="K73" s="171"/>
      <c r="L73" s="162">
        <f t="shared" si="2"/>
        <v>0</v>
      </c>
      <c r="M73" s="163"/>
      <c r="N73" s="101"/>
      <c r="O73" s="137">
        <f t="shared" si="3"/>
        <v>0</v>
      </c>
      <c r="P73" s="73"/>
      <c r="Q73" s="73"/>
      <c r="R73" s="73"/>
      <c r="S73" s="73"/>
      <c r="T73" s="73"/>
      <c r="U73" s="73"/>
    </row>
    <row r="74" ht="15.75" customHeight="1">
      <c r="A74" s="159"/>
      <c r="B74" s="114"/>
      <c r="C74" s="101"/>
      <c r="D74" s="101"/>
      <c r="E74" s="101"/>
      <c r="F74" s="101"/>
      <c r="G74" s="101"/>
      <c r="H74" s="101"/>
      <c r="I74" s="101"/>
      <c r="J74" s="160">
        <f t="shared" si="1"/>
        <v>0</v>
      </c>
      <c r="K74" s="171"/>
      <c r="L74" s="162">
        <f t="shared" si="2"/>
        <v>0</v>
      </c>
      <c r="M74" s="163"/>
      <c r="N74" s="101"/>
      <c r="O74" s="137">
        <f t="shared" si="3"/>
        <v>0</v>
      </c>
      <c r="P74" s="73"/>
      <c r="Q74" s="73"/>
      <c r="R74" s="73"/>
      <c r="S74" s="73"/>
      <c r="T74" s="73"/>
      <c r="U74" s="73"/>
    </row>
    <row r="75" ht="15.75" customHeight="1">
      <c r="A75" s="159"/>
      <c r="B75" s="114"/>
      <c r="C75" s="101"/>
      <c r="D75" s="101"/>
      <c r="E75" s="101"/>
      <c r="F75" s="101"/>
      <c r="G75" s="101"/>
      <c r="H75" s="101"/>
      <c r="I75" s="101"/>
      <c r="J75" s="160">
        <f t="shared" si="1"/>
        <v>0</v>
      </c>
      <c r="K75" s="171"/>
      <c r="L75" s="162">
        <f t="shared" si="2"/>
        <v>0</v>
      </c>
      <c r="M75" s="163"/>
      <c r="N75" s="101"/>
      <c r="O75" s="137">
        <f t="shared" si="3"/>
        <v>0</v>
      </c>
      <c r="P75" s="73"/>
      <c r="Q75" s="73"/>
      <c r="R75" s="73"/>
      <c r="S75" s="73"/>
      <c r="T75" s="73"/>
      <c r="U75" s="73"/>
    </row>
    <row r="76" ht="15.75" customHeight="1">
      <c r="A76" s="159"/>
      <c r="B76" s="114"/>
      <c r="C76" s="101"/>
      <c r="D76" s="101"/>
      <c r="E76" s="101"/>
      <c r="F76" s="101"/>
      <c r="G76" s="101"/>
      <c r="H76" s="101"/>
      <c r="I76" s="101"/>
      <c r="J76" s="160">
        <f t="shared" si="1"/>
        <v>0</v>
      </c>
      <c r="K76" s="171"/>
      <c r="L76" s="162">
        <f t="shared" si="2"/>
        <v>0</v>
      </c>
      <c r="M76" s="163"/>
      <c r="N76" s="101"/>
      <c r="O76" s="137">
        <f t="shared" si="3"/>
        <v>0</v>
      </c>
      <c r="P76" s="73"/>
      <c r="Q76" s="73"/>
      <c r="R76" s="73"/>
      <c r="S76" s="73"/>
      <c r="T76" s="73"/>
      <c r="U76" s="73"/>
    </row>
    <row r="77" ht="15.75" customHeight="1">
      <c r="A77" s="159"/>
      <c r="B77" s="114"/>
      <c r="C77" s="101"/>
      <c r="D77" s="101"/>
      <c r="E77" s="101"/>
      <c r="F77" s="101"/>
      <c r="G77" s="101"/>
      <c r="H77" s="101"/>
      <c r="I77" s="101"/>
      <c r="J77" s="160">
        <f t="shared" si="1"/>
        <v>0</v>
      </c>
      <c r="K77" s="171"/>
      <c r="L77" s="162">
        <f t="shared" si="2"/>
        <v>0</v>
      </c>
      <c r="M77" s="163"/>
      <c r="N77" s="101"/>
      <c r="O77" s="137">
        <f t="shared" si="3"/>
        <v>0</v>
      </c>
      <c r="P77" s="73"/>
      <c r="Q77" s="73"/>
      <c r="R77" s="73"/>
      <c r="S77" s="73"/>
      <c r="T77" s="73"/>
      <c r="U77" s="73"/>
    </row>
    <row r="78" ht="15.75" customHeight="1">
      <c r="A78" s="173"/>
      <c r="B78" s="93"/>
      <c r="C78" s="94"/>
      <c r="D78" s="94"/>
      <c r="E78" s="94"/>
      <c r="F78" s="94"/>
      <c r="G78" s="94"/>
      <c r="H78" s="94"/>
      <c r="I78" s="94"/>
      <c r="J78" s="160">
        <f t="shared" si="1"/>
        <v>0</v>
      </c>
      <c r="K78" s="174"/>
      <c r="L78" s="162">
        <f t="shared" si="2"/>
        <v>0</v>
      </c>
      <c r="M78" s="163"/>
      <c r="N78" s="101"/>
      <c r="O78" s="137">
        <f t="shared" si="3"/>
        <v>0</v>
      </c>
      <c r="P78" s="73"/>
      <c r="Q78" s="73"/>
      <c r="R78" s="73"/>
      <c r="S78" s="73"/>
      <c r="T78" s="73"/>
      <c r="U78" s="73"/>
    </row>
    <row r="79" ht="15.75" customHeight="1">
      <c r="A79" s="173"/>
      <c r="B79" s="93"/>
      <c r="C79" s="94"/>
      <c r="D79" s="94"/>
      <c r="E79" s="94"/>
      <c r="F79" s="94"/>
      <c r="G79" s="94"/>
      <c r="H79" s="94"/>
      <c r="I79" s="94"/>
      <c r="J79" s="160">
        <f t="shared" si="1"/>
        <v>0</v>
      </c>
      <c r="K79" s="174"/>
      <c r="L79" s="162">
        <f t="shared" si="2"/>
        <v>0</v>
      </c>
      <c r="M79" s="163"/>
      <c r="N79" s="101"/>
      <c r="O79" s="137">
        <f t="shared" si="3"/>
        <v>0</v>
      </c>
      <c r="P79" s="73"/>
      <c r="Q79" s="73"/>
      <c r="R79" s="73"/>
      <c r="S79" s="73"/>
      <c r="T79" s="73"/>
      <c r="U79" s="73"/>
    </row>
    <row r="80" ht="15.75" customHeight="1">
      <c r="A80" s="173"/>
      <c r="B80" s="93"/>
      <c r="C80" s="94"/>
      <c r="D80" s="94"/>
      <c r="E80" s="94"/>
      <c r="F80" s="94"/>
      <c r="G80" s="94"/>
      <c r="H80" s="94"/>
      <c r="I80" s="94"/>
      <c r="J80" s="160">
        <f t="shared" si="1"/>
        <v>0</v>
      </c>
      <c r="K80" s="174"/>
      <c r="L80" s="162">
        <f t="shared" si="2"/>
        <v>0</v>
      </c>
      <c r="M80" s="163"/>
      <c r="N80" s="101"/>
      <c r="O80" s="137">
        <f t="shared" si="3"/>
        <v>0</v>
      </c>
      <c r="P80" s="73"/>
      <c r="Q80" s="73"/>
      <c r="R80" s="73"/>
      <c r="S80" s="73"/>
      <c r="T80" s="73"/>
      <c r="U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</row>
    <row r="221" ht="15.75" customHeight="1">
      <c r="A221" s="120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</row>
    <row r="222" ht="15.75" customHeight="1">
      <c r="A222" s="120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</row>
    <row r="223" ht="15.75" customHeight="1">
      <c r="A223" s="120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</row>
    <row r="224" ht="15.75" customHeight="1">
      <c r="A224" s="120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</row>
    <row r="225" ht="15.75" customHeight="1">
      <c r="A225" s="120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</row>
    <row r="226" ht="15.75" customHeight="1">
      <c r="A226" s="120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</row>
    <row r="227" ht="15.75" customHeight="1">
      <c r="A227" s="120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</row>
    <row r="228" ht="15.75" customHeight="1">
      <c r="A228" s="120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</row>
    <row r="229" ht="15.75" customHeight="1">
      <c r="A229" s="120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</row>
    <row r="230" ht="15.75" customHeight="1">
      <c r="A230" s="120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</row>
    <row r="231" ht="15.75" customHeight="1">
      <c r="A231" s="120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</row>
    <row r="232" ht="15.75" customHeight="1">
      <c r="A232" s="120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</row>
    <row r="233" ht="15.75" customHeight="1">
      <c r="A233" s="120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</row>
    <row r="234" ht="15.75" customHeight="1">
      <c r="A234" s="120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</row>
    <row r="235" ht="15.75" customHeight="1">
      <c r="A235" s="120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</row>
    <row r="236" ht="15.75" customHeight="1">
      <c r="A236" s="120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</row>
    <row r="237" ht="15.75" customHeight="1">
      <c r="A237" s="120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</row>
    <row r="238" ht="15.75" customHeight="1">
      <c r="A238" s="120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</row>
    <row r="239" ht="15.75" customHeight="1">
      <c r="A239" s="120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</row>
    <row r="240" ht="15.75" customHeight="1">
      <c r="A240" s="120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</row>
    <row r="241" ht="15.75" customHeight="1">
      <c r="A241" s="120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</row>
    <row r="242" ht="15.75" customHeight="1">
      <c r="A242" s="120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</row>
    <row r="243" ht="15.75" customHeight="1">
      <c r="A243" s="120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</row>
    <row r="244" ht="15.75" customHeight="1">
      <c r="A244" s="120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</row>
    <row r="245" ht="15.75" customHeight="1">
      <c r="A245" s="120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</row>
    <row r="246" ht="15.75" customHeight="1">
      <c r="A246" s="120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</row>
    <row r="247" ht="15.75" customHeight="1">
      <c r="A247" s="120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</row>
    <row r="248" ht="15.75" customHeight="1">
      <c r="A248" s="120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</row>
    <row r="249" ht="15.75" customHeight="1">
      <c r="A249" s="120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</row>
    <row r="250" ht="15.75" customHeight="1">
      <c r="A250" s="120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</row>
    <row r="251" ht="15.75" customHeight="1">
      <c r="A251" s="120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</row>
    <row r="252" ht="15.75" customHeight="1">
      <c r="A252" s="120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</row>
    <row r="253" ht="15.75" customHeight="1">
      <c r="A253" s="120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</row>
    <row r="254" ht="15.75" customHeight="1">
      <c r="A254" s="120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</row>
    <row r="255" ht="15.75" customHeight="1">
      <c r="A255" s="120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</row>
    <row r="256" ht="15.75" customHeight="1">
      <c r="A256" s="120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</row>
    <row r="257" ht="15.75" customHeight="1">
      <c r="A257" s="120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</row>
    <row r="258" ht="15.75" customHeight="1">
      <c r="A258" s="120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</row>
    <row r="259" ht="15.75" customHeight="1">
      <c r="A259" s="120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</row>
    <row r="260" ht="15.75" customHeight="1">
      <c r="A260" s="120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</row>
    <row r="261" ht="15.75" customHeight="1">
      <c r="A261" s="120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</row>
    <row r="262" ht="15.75" customHeight="1">
      <c r="A262" s="120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</row>
    <row r="263" ht="15.75" customHeight="1">
      <c r="A263" s="120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</row>
    <row r="264" ht="15.75" customHeight="1">
      <c r="A264" s="120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</row>
    <row r="265" ht="15.75" customHeight="1">
      <c r="A265" s="120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</row>
    <row r="266" ht="15.75" customHeight="1">
      <c r="A266" s="120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</row>
    <row r="267" ht="15.75" customHeight="1">
      <c r="A267" s="120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</row>
    <row r="268" ht="15.75" customHeight="1">
      <c r="A268" s="120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</row>
    <row r="269" ht="15.75" customHeight="1">
      <c r="A269" s="120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</row>
    <row r="270" ht="15.75" customHeight="1">
      <c r="A270" s="120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</row>
    <row r="271" ht="15.75" customHeight="1">
      <c r="A271" s="120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</row>
    <row r="272" ht="15.75" customHeight="1">
      <c r="A272" s="120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</row>
    <row r="273" ht="15.75" customHeight="1">
      <c r="A273" s="120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</row>
    <row r="274" ht="15.75" customHeight="1">
      <c r="A274" s="120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</row>
    <row r="275" ht="15.75" customHeight="1">
      <c r="A275" s="120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</row>
    <row r="276" ht="15.75" customHeight="1">
      <c r="A276" s="120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</row>
    <row r="277" ht="15.75" customHeight="1">
      <c r="A277" s="120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</row>
    <row r="278" ht="15.75" customHeight="1">
      <c r="A278" s="120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</row>
    <row r="279" ht="15.75" customHeight="1">
      <c r="A279" s="120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</row>
    <row r="280" ht="15.75" customHeight="1">
      <c r="A280" s="120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I1"/>
    <mergeCell ref="J1:K1"/>
    <mergeCell ref="L1:O1"/>
    <mergeCell ref="Q4:Q5"/>
    <mergeCell ref="R4:R5"/>
    <mergeCell ref="S4:S5"/>
    <mergeCell ref="T4:T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5" max="15" width="7.75"/>
    <col customWidth="1" min="18" max="18" width="22.75"/>
    <col customWidth="1" min="19" max="19" width="14.63"/>
  </cols>
  <sheetData>
    <row r="1" ht="15.75" customHeight="1">
      <c r="A1" s="75" t="s">
        <v>191</v>
      </c>
      <c r="B1" s="68" t="s">
        <v>120</v>
      </c>
      <c r="C1" s="69"/>
      <c r="D1" s="69"/>
      <c r="E1" s="69"/>
      <c r="F1" s="71"/>
      <c r="G1" s="158"/>
      <c r="H1" s="158"/>
      <c r="I1" s="70" t="s">
        <v>121</v>
      </c>
      <c r="J1" s="71"/>
      <c r="K1" s="157" t="s">
        <v>122</v>
      </c>
      <c r="L1" s="69"/>
      <c r="M1" s="69"/>
      <c r="N1" s="71"/>
      <c r="O1" s="73"/>
      <c r="P1" s="73"/>
      <c r="R1" s="73"/>
      <c r="S1" s="73"/>
      <c r="T1" s="73"/>
      <c r="U1" s="73"/>
      <c r="V1" s="73"/>
      <c r="W1" s="73"/>
      <c r="X1" s="73"/>
      <c r="Y1" s="73"/>
      <c r="Z1" s="73"/>
      <c r="AA1" s="73"/>
    </row>
    <row r="2" ht="15.75" customHeight="1">
      <c r="A2" s="49"/>
      <c r="B2" s="158" t="s">
        <v>214</v>
      </c>
      <c r="C2" s="158" t="s">
        <v>215</v>
      </c>
      <c r="D2" s="158" t="s">
        <v>216</v>
      </c>
      <c r="E2" s="158" t="s">
        <v>217</v>
      </c>
      <c r="F2" s="68" t="s">
        <v>218</v>
      </c>
      <c r="G2" s="68" t="s">
        <v>219</v>
      </c>
      <c r="H2" s="68" t="s">
        <v>220</v>
      </c>
      <c r="I2" s="158" t="s">
        <v>127</v>
      </c>
      <c r="J2" s="158" t="s">
        <v>200</v>
      </c>
      <c r="K2" s="84" t="s">
        <v>133</v>
      </c>
      <c r="L2" s="84" t="s">
        <v>134</v>
      </c>
      <c r="M2" s="84" t="s">
        <v>135</v>
      </c>
      <c r="N2" s="84" t="s">
        <v>136</v>
      </c>
      <c r="O2" s="73"/>
      <c r="P2" s="175" t="s">
        <v>221</v>
      </c>
      <c r="Q2" s="175" t="s">
        <v>222</v>
      </c>
      <c r="R2" s="176" t="s">
        <v>223</v>
      </c>
      <c r="S2" s="73"/>
      <c r="W2" s="73"/>
      <c r="X2" s="73"/>
      <c r="Y2" s="73"/>
      <c r="Z2" s="73"/>
      <c r="AA2" s="73"/>
    </row>
    <row r="3" ht="15.75" customHeight="1">
      <c r="A3" s="159">
        <v>45700.0</v>
      </c>
      <c r="B3" s="114"/>
      <c r="C3" s="101"/>
      <c r="D3" s="101"/>
      <c r="E3" s="101">
        <v>6.0</v>
      </c>
      <c r="F3" s="101">
        <v>6.0</v>
      </c>
      <c r="G3" s="101"/>
      <c r="H3" s="101"/>
      <c r="I3" s="160">
        <f t="shared" ref="I3:I5" si="1">B3*$R$5+C3*$R$6+D3*$R$7+E3*$R$8+F3*$R$9</f>
        <v>1110</v>
      </c>
      <c r="J3" s="161">
        <v>45706.0</v>
      </c>
      <c r="K3" s="162">
        <f t="shared" ref="K3:K80" si="2">I3</f>
        <v>1110</v>
      </c>
      <c r="L3" s="163">
        <f>(2994+3718+3070)*0.1</f>
        <v>978.2</v>
      </c>
      <c r="M3" s="101">
        <f>(1600+159+2408)*0.1</f>
        <v>416.7</v>
      </c>
      <c r="N3" s="137">
        <f>((M3+L3)-((K3+0)*0.22))</f>
        <v>1150.7</v>
      </c>
      <c r="O3" s="73"/>
      <c r="P3" s="177" t="s">
        <v>94</v>
      </c>
      <c r="Q3" s="178"/>
      <c r="R3" s="179" t="s">
        <v>96</v>
      </c>
      <c r="S3" s="180" t="s">
        <v>201</v>
      </c>
      <c r="T3" s="180" t="s">
        <v>176</v>
      </c>
      <c r="U3" s="73"/>
      <c r="V3" s="73"/>
      <c r="W3" s="73"/>
      <c r="X3" s="73"/>
      <c r="Y3" s="73"/>
      <c r="Z3" s="73"/>
      <c r="AA3" s="73"/>
    </row>
    <row r="4" ht="15.75" customHeight="1">
      <c r="A4" s="159">
        <v>45709.0</v>
      </c>
      <c r="B4" s="114"/>
      <c r="C4" s="101">
        <v>5.0</v>
      </c>
      <c r="D4" s="101">
        <v>5.0</v>
      </c>
      <c r="E4" s="101">
        <v>6.0</v>
      </c>
      <c r="F4" s="101">
        <v>6.0</v>
      </c>
      <c r="G4" s="101"/>
      <c r="H4" s="101"/>
      <c r="I4" s="160">
        <f t="shared" si="1"/>
        <v>1520</v>
      </c>
      <c r="J4" s="161">
        <v>45712.0</v>
      </c>
      <c r="K4" s="162">
        <f t="shared" si="2"/>
        <v>1520</v>
      </c>
      <c r="L4" s="163">
        <f>200+40</f>
        <v>240</v>
      </c>
      <c r="M4" s="101">
        <f>200+529+397</f>
        <v>1126</v>
      </c>
      <c r="N4" s="137">
        <f t="shared" ref="N4:N80" si="3">((M4+L4)-((K4+N3)*0.22))</f>
        <v>778.446</v>
      </c>
      <c r="O4" s="73"/>
      <c r="P4" s="181"/>
      <c r="Q4" s="51"/>
      <c r="R4" s="182"/>
      <c r="S4" s="16"/>
      <c r="T4" s="16"/>
      <c r="U4" s="73"/>
      <c r="V4" s="73"/>
      <c r="W4" s="73"/>
      <c r="X4" s="73"/>
      <c r="Y4" s="73"/>
      <c r="Z4" s="73"/>
      <c r="AA4" s="73"/>
    </row>
    <row r="5" ht="15.75" customHeight="1">
      <c r="A5" s="159">
        <v>46213.0</v>
      </c>
      <c r="B5" s="114"/>
      <c r="C5" s="101">
        <v>5.0</v>
      </c>
      <c r="D5" s="101">
        <v>9.0</v>
      </c>
      <c r="E5" s="101">
        <v>6.0</v>
      </c>
      <c r="F5" s="101">
        <v>12.0</v>
      </c>
      <c r="G5" s="101"/>
      <c r="H5" s="101"/>
      <c r="I5" s="160">
        <f t="shared" si="1"/>
        <v>2258</v>
      </c>
      <c r="J5" s="167">
        <v>45726.0</v>
      </c>
      <c r="K5" s="162">
        <f t="shared" si="2"/>
        <v>2258</v>
      </c>
      <c r="L5" s="163">
        <f>279+387</f>
        <v>666</v>
      </c>
      <c r="M5" s="101">
        <f>163+200</f>
        <v>363</v>
      </c>
      <c r="N5" s="137">
        <f t="shared" si="3"/>
        <v>360.98188</v>
      </c>
      <c r="O5" s="73"/>
      <c r="P5" s="183" t="s">
        <v>224</v>
      </c>
      <c r="Q5" s="51"/>
      <c r="R5" s="184">
        <v>45.0</v>
      </c>
      <c r="S5" s="30">
        <f t="shared" ref="S5:S14" si="4">R5*1.3</f>
        <v>58.5</v>
      </c>
      <c r="T5" s="30">
        <v>60.0</v>
      </c>
      <c r="U5" s="73"/>
      <c r="V5" s="73"/>
      <c r="W5" s="73"/>
      <c r="X5" s="73"/>
      <c r="Y5" s="73"/>
      <c r="Z5" s="73"/>
      <c r="AA5" s="73"/>
    </row>
    <row r="6" ht="15.75" customHeight="1">
      <c r="A6" s="159"/>
      <c r="B6" s="114"/>
      <c r="C6" s="101"/>
      <c r="D6" s="101"/>
      <c r="E6" s="101">
        <v>6.0</v>
      </c>
      <c r="F6" s="101">
        <v>6.0</v>
      </c>
      <c r="G6" s="101">
        <v>6.0</v>
      </c>
      <c r="H6" s="101">
        <v>12.0</v>
      </c>
      <c r="I6" s="160">
        <f t="shared" ref="I6:I52" si="5">B6*$R$5+C6*$R$6+D6*$R$7+E6*$R$8+F6*$R$9+G6*$R$10+H6*$R$11</f>
        <v>1950</v>
      </c>
      <c r="J6" s="167">
        <v>45733.0</v>
      </c>
      <c r="K6" s="162">
        <f t="shared" si="2"/>
        <v>1950</v>
      </c>
      <c r="L6" s="163">
        <v>40.73</v>
      </c>
      <c r="M6" s="101">
        <f>249.01+425</f>
        <v>674.01</v>
      </c>
      <c r="N6" s="137">
        <f t="shared" si="3"/>
        <v>206.3239864</v>
      </c>
      <c r="O6" s="73"/>
      <c r="P6" s="185" t="s">
        <v>225</v>
      </c>
      <c r="Q6" s="3"/>
      <c r="R6" s="186">
        <v>40.0</v>
      </c>
      <c r="S6" s="30">
        <f t="shared" si="4"/>
        <v>52</v>
      </c>
      <c r="T6" s="30">
        <v>55.0</v>
      </c>
      <c r="U6" s="73"/>
      <c r="V6" s="73"/>
      <c r="W6" s="73"/>
      <c r="X6" s="73"/>
      <c r="Y6" s="73"/>
      <c r="Z6" s="73"/>
      <c r="AA6" s="73"/>
    </row>
    <row r="7" ht="15.75" customHeight="1">
      <c r="A7" s="159">
        <v>45733.0</v>
      </c>
      <c r="B7" s="114"/>
      <c r="C7" s="101"/>
      <c r="D7" s="101"/>
      <c r="E7" s="101"/>
      <c r="F7" s="101"/>
      <c r="G7" s="101">
        <v>12.0</v>
      </c>
      <c r="H7" s="101">
        <v>24.0</v>
      </c>
      <c r="I7" s="160">
        <f t="shared" si="5"/>
        <v>1680</v>
      </c>
      <c r="J7" s="170">
        <v>45735.0</v>
      </c>
      <c r="K7" s="162">
        <f t="shared" si="2"/>
        <v>1680</v>
      </c>
      <c r="L7" s="163">
        <f>506.93+292</f>
        <v>798.93</v>
      </c>
      <c r="M7" s="101">
        <f>55.18+393+314</f>
        <v>762.18</v>
      </c>
      <c r="N7" s="137">
        <f t="shared" si="3"/>
        <v>1146.118723</v>
      </c>
      <c r="O7" s="73"/>
      <c r="P7" s="185" t="s">
        <v>226</v>
      </c>
      <c r="Q7" s="3"/>
      <c r="R7" s="186">
        <v>42.0</v>
      </c>
      <c r="S7" s="30">
        <f t="shared" si="4"/>
        <v>54.6</v>
      </c>
      <c r="T7" s="30">
        <v>55.0</v>
      </c>
      <c r="U7" s="73"/>
      <c r="V7" s="73"/>
      <c r="W7" s="73"/>
      <c r="X7" s="73"/>
      <c r="Y7" s="73"/>
      <c r="Z7" s="73"/>
      <c r="AA7" s="73"/>
    </row>
    <row r="8" ht="15.75" customHeight="1">
      <c r="A8" s="159">
        <v>45734.0</v>
      </c>
      <c r="B8" s="114"/>
      <c r="C8" s="101"/>
      <c r="D8" s="101"/>
      <c r="E8" s="101">
        <v>6.0</v>
      </c>
      <c r="F8" s="101">
        <v>12.0</v>
      </c>
      <c r="G8" s="101"/>
      <c r="H8" s="101"/>
      <c r="I8" s="160">
        <f t="shared" si="5"/>
        <v>1680</v>
      </c>
      <c r="J8" s="170">
        <v>45735.0</v>
      </c>
      <c r="K8" s="162">
        <f t="shared" si="2"/>
        <v>1680</v>
      </c>
      <c r="L8" s="163"/>
      <c r="M8" s="101"/>
      <c r="N8" s="137">
        <f t="shared" si="3"/>
        <v>-621.7461191</v>
      </c>
      <c r="O8" s="73"/>
      <c r="P8" s="185" t="s">
        <v>227</v>
      </c>
      <c r="Q8" s="3"/>
      <c r="R8" s="186">
        <v>90.0</v>
      </c>
      <c r="S8" s="30">
        <f t="shared" si="4"/>
        <v>117</v>
      </c>
      <c r="T8" s="30">
        <v>120.0</v>
      </c>
      <c r="U8" s="73"/>
      <c r="V8" s="73"/>
      <c r="W8" s="73"/>
      <c r="X8" s="73"/>
      <c r="Y8" s="73"/>
      <c r="Z8" s="73"/>
      <c r="AA8" s="73"/>
    </row>
    <row r="9" ht="15.75" customHeight="1">
      <c r="A9" s="159">
        <v>45734.0</v>
      </c>
      <c r="B9" s="114"/>
      <c r="C9" s="101"/>
      <c r="D9" s="101"/>
      <c r="E9" s="101"/>
      <c r="F9" s="101"/>
      <c r="G9" s="101">
        <v>23.0</v>
      </c>
      <c r="H9" s="101">
        <v>24.0</v>
      </c>
      <c r="I9" s="160">
        <f t="shared" si="5"/>
        <v>2340</v>
      </c>
      <c r="J9" s="170">
        <v>45735.0</v>
      </c>
      <c r="K9" s="162">
        <f t="shared" si="2"/>
        <v>2340</v>
      </c>
      <c r="L9" s="163"/>
      <c r="M9" s="101"/>
      <c r="N9" s="137">
        <f t="shared" si="3"/>
        <v>-378.0158538</v>
      </c>
      <c r="O9" s="73"/>
      <c r="P9" s="185" t="s">
        <v>228</v>
      </c>
      <c r="Q9" s="3"/>
      <c r="R9" s="186">
        <v>95.0</v>
      </c>
      <c r="S9" s="30">
        <f t="shared" si="4"/>
        <v>123.5</v>
      </c>
      <c r="T9" s="30">
        <v>120.0</v>
      </c>
      <c r="U9" s="73"/>
      <c r="V9" s="73"/>
      <c r="W9" s="73"/>
      <c r="X9" s="73"/>
      <c r="Y9" s="73"/>
      <c r="Z9" s="73"/>
      <c r="AA9" s="73"/>
    </row>
    <row r="10" ht="15.75" customHeight="1">
      <c r="A10" s="159">
        <v>45740.0</v>
      </c>
      <c r="B10" s="114">
        <v>5.0</v>
      </c>
      <c r="C10" s="101"/>
      <c r="D10" s="101">
        <v>5.0</v>
      </c>
      <c r="E10" s="101">
        <v>12.0</v>
      </c>
      <c r="F10" s="101">
        <v>12.0</v>
      </c>
      <c r="G10" s="101">
        <v>24.0</v>
      </c>
      <c r="H10" s="101">
        <v>24.0</v>
      </c>
      <c r="I10" s="160">
        <f t="shared" si="5"/>
        <v>5055</v>
      </c>
      <c r="J10" s="170">
        <v>45740.0</v>
      </c>
      <c r="K10" s="162">
        <f t="shared" si="2"/>
        <v>5055</v>
      </c>
      <c r="L10" s="163"/>
      <c r="M10" s="101"/>
      <c r="N10" s="137">
        <f t="shared" si="3"/>
        <v>-1028.936512</v>
      </c>
      <c r="O10" s="73"/>
      <c r="P10" s="186" t="s">
        <v>229</v>
      </c>
      <c r="Q10" s="3"/>
      <c r="R10" s="30">
        <v>60.0</v>
      </c>
      <c r="S10" s="30">
        <f t="shared" si="4"/>
        <v>78</v>
      </c>
      <c r="T10" s="30">
        <v>80.0</v>
      </c>
      <c r="U10" s="73"/>
      <c r="V10" s="73"/>
      <c r="W10" s="73"/>
      <c r="X10" s="73"/>
      <c r="Y10" s="73"/>
      <c r="Z10" s="73"/>
      <c r="AA10" s="73"/>
    </row>
    <row r="11" ht="15.75" customHeight="1">
      <c r="A11" s="159"/>
      <c r="B11" s="114">
        <v>4.0</v>
      </c>
      <c r="C11" s="101">
        <v>5.0</v>
      </c>
      <c r="D11" s="101"/>
      <c r="E11" s="101">
        <v>6.0</v>
      </c>
      <c r="F11" s="101">
        <v>12.0</v>
      </c>
      <c r="G11" s="101">
        <v>24.0</v>
      </c>
      <c r="H11" s="101">
        <v>24.0</v>
      </c>
      <c r="I11" s="160">
        <f t="shared" si="5"/>
        <v>4460</v>
      </c>
      <c r="J11" s="170">
        <v>45743.0</v>
      </c>
      <c r="K11" s="162">
        <f t="shared" si="2"/>
        <v>4460</v>
      </c>
      <c r="L11" s="163"/>
      <c r="M11" s="101"/>
      <c r="N11" s="137">
        <f t="shared" si="3"/>
        <v>-754.8339673</v>
      </c>
      <c r="O11" s="73"/>
      <c r="P11" s="186" t="s">
        <v>230</v>
      </c>
      <c r="Q11" s="3"/>
      <c r="R11" s="30">
        <v>40.0</v>
      </c>
      <c r="S11" s="30">
        <f t="shared" si="4"/>
        <v>52</v>
      </c>
      <c r="T11" s="30">
        <v>55.0</v>
      </c>
      <c r="U11" s="73"/>
      <c r="V11" s="73"/>
      <c r="W11" s="73"/>
      <c r="X11" s="73"/>
      <c r="Y11" s="73"/>
      <c r="Z11" s="73"/>
      <c r="AA11" s="73"/>
    </row>
    <row r="12" ht="15.75" customHeight="1">
      <c r="A12" s="159">
        <v>45744.0</v>
      </c>
      <c r="B12" s="114">
        <v>10.0</v>
      </c>
      <c r="C12" s="101"/>
      <c r="D12" s="101">
        <v>10.0</v>
      </c>
      <c r="E12" s="101">
        <v>24.0</v>
      </c>
      <c r="F12" s="101">
        <v>24.0</v>
      </c>
      <c r="G12" s="101">
        <v>24.0</v>
      </c>
      <c r="H12" s="101">
        <v>24.0</v>
      </c>
      <c r="I12" s="160">
        <f t="shared" si="5"/>
        <v>7710</v>
      </c>
      <c r="J12" s="171"/>
      <c r="K12" s="162">
        <f t="shared" si="2"/>
        <v>7710</v>
      </c>
      <c r="L12" s="163"/>
      <c r="M12" s="101"/>
      <c r="N12" s="137">
        <f t="shared" si="3"/>
        <v>-1530.136527</v>
      </c>
      <c r="O12" s="73"/>
      <c r="P12" s="73"/>
      <c r="R12" s="73"/>
      <c r="S12" s="73">
        <f t="shared" si="4"/>
        <v>0</v>
      </c>
      <c r="T12" s="73"/>
      <c r="U12" s="73"/>
      <c r="V12" s="73"/>
      <c r="W12" s="73"/>
      <c r="X12" s="73"/>
      <c r="Y12" s="73"/>
      <c r="Z12" s="73"/>
      <c r="AA12" s="73"/>
    </row>
    <row r="13" ht="42.75" customHeight="1">
      <c r="A13" s="159"/>
      <c r="B13" s="114">
        <v>10.0</v>
      </c>
      <c r="C13" s="101"/>
      <c r="D13" s="101">
        <v>10.0</v>
      </c>
      <c r="E13" s="101">
        <v>24.0</v>
      </c>
      <c r="F13" s="101">
        <v>24.0</v>
      </c>
      <c r="G13" s="101">
        <v>44.0</v>
      </c>
      <c r="H13" s="101">
        <v>36.0</v>
      </c>
      <c r="I13" s="160">
        <f t="shared" si="5"/>
        <v>9390</v>
      </c>
      <c r="J13" s="171"/>
      <c r="K13" s="162">
        <f t="shared" si="2"/>
        <v>9390</v>
      </c>
      <c r="L13" s="163"/>
      <c r="M13" s="101"/>
      <c r="N13" s="137">
        <f t="shared" si="3"/>
        <v>-1729.169964</v>
      </c>
      <c r="O13" s="73"/>
      <c r="P13" s="73"/>
      <c r="Q13" s="187" t="s">
        <v>231</v>
      </c>
      <c r="R13" s="188" t="s">
        <v>232</v>
      </c>
      <c r="S13" s="73" t="str">
        <f t="shared" si="4"/>
        <v>#VALUE!</v>
      </c>
      <c r="T13" s="188"/>
      <c r="U13" s="73"/>
      <c r="V13" s="73"/>
      <c r="W13" s="73"/>
      <c r="X13" s="73"/>
      <c r="Y13" s="73"/>
      <c r="Z13" s="73"/>
      <c r="AA13" s="73"/>
    </row>
    <row r="14" ht="15.75" customHeight="1">
      <c r="A14" s="159">
        <v>45751.0</v>
      </c>
      <c r="B14" s="114">
        <v>10.0</v>
      </c>
      <c r="C14" s="101">
        <v>10.0</v>
      </c>
      <c r="D14" s="101">
        <v>10.0</v>
      </c>
      <c r="E14" s="101">
        <v>24.0</v>
      </c>
      <c r="F14" s="101">
        <v>24.0</v>
      </c>
      <c r="G14" s="101">
        <v>48.0</v>
      </c>
      <c r="H14" s="101">
        <v>48.0</v>
      </c>
      <c r="I14" s="160">
        <f t="shared" si="5"/>
        <v>10510</v>
      </c>
      <c r="J14" s="167">
        <v>45754.0</v>
      </c>
      <c r="K14" s="162">
        <f t="shared" si="2"/>
        <v>10510</v>
      </c>
      <c r="L14" s="163"/>
      <c r="M14" s="101"/>
      <c r="N14" s="137">
        <f t="shared" si="3"/>
        <v>-1931.782608</v>
      </c>
      <c r="O14" s="73"/>
      <c r="P14" s="73"/>
      <c r="Q14" s="111">
        <f>10/22</f>
        <v>0.4545454545</v>
      </c>
      <c r="R14" s="188"/>
      <c r="S14" s="73">
        <f t="shared" si="4"/>
        <v>0</v>
      </c>
      <c r="T14" s="188"/>
      <c r="U14" s="73"/>
      <c r="V14" s="73"/>
      <c r="W14" s="73"/>
      <c r="X14" s="73"/>
      <c r="Y14" s="73"/>
      <c r="Z14" s="73"/>
      <c r="AA14" s="73"/>
    </row>
    <row r="15" ht="15.75" customHeight="1">
      <c r="A15" s="159">
        <v>45755.0</v>
      </c>
      <c r="B15" s="114">
        <v>0.0</v>
      </c>
      <c r="C15" s="101">
        <v>10.0</v>
      </c>
      <c r="D15" s="101">
        <v>10.0</v>
      </c>
      <c r="E15" s="101">
        <v>12.0</v>
      </c>
      <c r="F15" s="101">
        <v>12.0</v>
      </c>
      <c r="G15" s="101">
        <v>20.0</v>
      </c>
      <c r="H15" s="101">
        <v>18.0</v>
      </c>
      <c r="I15" s="160">
        <f t="shared" si="5"/>
        <v>4960</v>
      </c>
      <c r="J15" s="171" t="s">
        <v>233</v>
      </c>
      <c r="K15" s="162">
        <f t="shared" si="2"/>
        <v>4960</v>
      </c>
      <c r="L15" s="163"/>
      <c r="M15" s="101"/>
      <c r="N15" s="137">
        <f t="shared" si="3"/>
        <v>-666.2078263</v>
      </c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ht="15.75" customHeight="1">
      <c r="A16" s="159"/>
      <c r="B16" s="114"/>
      <c r="C16" s="101"/>
      <c r="D16" s="101"/>
      <c r="E16" s="101"/>
      <c r="F16" s="101"/>
      <c r="G16" s="101">
        <v>12.0</v>
      </c>
      <c r="H16" s="101">
        <v>12.0</v>
      </c>
      <c r="I16" s="160">
        <f t="shared" si="5"/>
        <v>1200</v>
      </c>
      <c r="J16" s="171" t="s">
        <v>234</v>
      </c>
      <c r="K16" s="162">
        <f t="shared" si="2"/>
        <v>1200</v>
      </c>
      <c r="L16" s="163"/>
      <c r="M16" s="101"/>
      <c r="N16" s="137">
        <f t="shared" si="3"/>
        <v>-117.4342782</v>
      </c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ht="15.75" customHeight="1">
      <c r="A17" s="159"/>
      <c r="B17" s="114"/>
      <c r="C17" s="101">
        <v>10.0</v>
      </c>
      <c r="D17" s="101">
        <v>10.0</v>
      </c>
      <c r="E17" s="101">
        <v>12.0</v>
      </c>
      <c r="F17" s="101">
        <v>12.0</v>
      </c>
      <c r="G17" s="101"/>
      <c r="H17" s="101"/>
      <c r="I17" s="160">
        <f t="shared" si="5"/>
        <v>3040</v>
      </c>
      <c r="J17" s="170">
        <v>45771.0</v>
      </c>
      <c r="K17" s="162">
        <f t="shared" si="2"/>
        <v>3040</v>
      </c>
      <c r="L17" s="163"/>
      <c r="M17" s="101"/>
      <c r="N17" s="137">
        <f t="shared" si="3"/>
        <v>-642.9644588</v>
      </c>
      <c r="O17" s="73"/>
      <c r="P17" s="73"/>
      <c r="Q17" s="73" t="s">
        <v>235</v>
      </c>
      <c r="R17" s="30" t="s">
        <v>236</v>
      </c>
      <c r="S17" s="30">
        <v>8.1001202358825E13</v>
      </c>
      <c r="T17" s="30" t="s">
        <v>237</v>
      </c>
      <c r="U17" s="73"/>
      <c r="V17" s="73"/>
      <c r="W17" s="73"/>
      <c r="X17" s="73"/>
      <c r="Y17" s="73"/>
      <c r="Z17" s="73"/>
      <c r="AA17" s="73"/>
    </row>
    <row r="18" ht="15.75" customHeight="1">
      <c r="A18" s="159"/>
      <c r="B18" s="114">
        <v>9.0</v>
      </c>
      <c r="C18" s="101"/>
      <c r="D18" s="101">
        <v>10.0</v>
      </c>
      <c r="E18" s="101">
        <v>24.0</v>
      </c>
      <c r="F18" s="101">
        <v>24.0</v>
      </c>
      <c r="G18" s="101">
        <v>24.0</v>
      </c>
      <c r="H18" s="101">
        <v>24.0</v>
      </c>
      <c r="I18" s="160">
        <f t="shared" si="5"/>
        <v>7665</v>
      </c>
      <c r="J18" s="170">
        <v>45771.0</v>
      </c>
      <c r="K18" s="162">
        <f t="shared" si="2"/>
        <v>7665</v>
      </c>
      <c r="L18" s="163"/>
      <c r="M18" s="101"/>
      <c r="N18" s="137">
        <f t="shared" si="3"/>
        <v>-1544.847819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 ht="15.75" customHeight="1">
      <c r="A19" s="159"/>
      <c r="B19" s="114"/>
      <c r="C19" s="101">
        <v>15.0</v>
      </c>
      <c r="D19" s="101">
        <v>15.0</v>
      </c>
      <c r="E19" s="101">
        <v>24.0</v>
      </c>
      <c r="F19" s="101">
        <v>24.0</v>
      </c>
      <c r="G19" s="101">
        <v>24.0</v>
      </c>
      <c r="H19" s="101">
        <v>23.0</v>
      </c>
      <c r="I19" s="160">
        <f t="shared" si="5"/>
        <v>8030</v>
      </c>
      <c r="J19" s="170">
        <v>45771.0</v>
      </c>
      <c r="K19" s="162">
        <f t="shared" si="2"/>
        <v>8030</v>
      </c>
      <c r="L19" s="163"/>
      <c r="M19" s="101"/>
      <c r="N19" s="137">
        <f t="shared" si="3"/>
        <v>-1426.73348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ht="15.75" customHeight="1">
      <c r="A20" s="159"/>
      <c r="B20" s="114"/>
      <c r="C20" s="101"/>
      <c r="D20" s="101"/>
      <c r="E20" s="101"/>
      <c r="F20" s="101">
        <v>7.0</v>
      </c>
      <c r="G20" s="101">
        <v>13.0</v>
      </c>
      <c r="H20" s="101">
        <v>17.0</v>
      </c>
      <c r="I20" s="160">
        <f t="shared" si="5"/>
        <v>2125</v>
      </c>
      <c r="J20" s="170">
        <v>45778.0</v>
      </c>
      <c r="K20" s="162">
        <f t="shared" si="2"/>
        <v>2125</v>
      </c>
      <c r="L20" s="163"/>
      <c r="M20" s="101"/>
      <c r="N20" s="137">
        <f t="shared" si="3"/>
        <v>-153.6186344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ht="15.75" customHeight="1">
      <c r="A21" s="159"/>
      <c r="B21" s="114">
        <v>10.0</v>
      </c>
      <c r="C21" s="101">
        <v>10.0</v>
      </c>
      <c r="D21" s="101">
        <v>10.0</v>
      </c>
      <c r="E21" s="101">
        <v>24.0</v>
      </c>
      <c r="F21" s="101">
        <v>24.0</v>
      </c>
      <c r="G21" s="101">
        <v>23.0</v>
      </c>
      <c r="H21" s="101">
        <v>24.0</v>
      </c>
      <c r="I21" s="160">
        <f t="shared" si="5"/>
        <v>8050</v>
      </c>
      <c r="J21" s="161">
        <v>45782.0</v>
      </c>
      <c r="K21" s="162">
        <f t="shared" si="2"/>
        <v>8050</v>
      </c>
      <c r="L21" s="163"/>
      <c r="M21" s="101"/>
      <c r="N21" s="137">
        <f t="shared" si="3"/>
        <v>-1737.2039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 ht="15.75" customHeight="1">
      <c r="A22" s="159"/>
      <c r="B22" s="114">
        <v>5.0</v>
      </c>
      <c r="C22" s="101">
        <v>5.0</v>
      </c>
      <c r="D22" s="101">
        <v>10.0</v>
      </c>
      <c r="E22" s="101">
        <v>6.0</v>
      </c>
      <c r="F22" s="101">
        <v>12.0</v>
      </c>
      <c r="G22" s="101">
        <v>24.0</v>
      </c>
      <c r="H22" s="101">
        <v>24.0</v>
      </c>
      <c r="I22" s="160">
        <f t="shared" si="5"/>
        <v>4925</v>
      </c>
      <c r="J22" s="171" t="s">
        <v>238</v>
      </c>
      <c r="K22" s="162">
        <f t="shared" si="2"/>
        <v>4925</v>
      </c>
      <c r="L22" s="163"/>
      <c r="M22" s="101"/>
      <c r="N22" s="137">
        <f t="shared" si="3"/>
        <v>-701.3151419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ht="15.75" customHeight="1">
      <c r="A23" s="159"/>
      <c r="B23" s="114">
        <v>10.0</v>
      </c>
      <c r="C23" s="101">
        <v>5.0</v>
      </c>
      <c r="D23" s="101">
        <v>10.0</v>
      </c>
      <c r="E23" s="101">
        <v>12.0</v>
      </c>
      <c r="F23" s="101">
        <v>24.0</v>
      </c>
      <c r="G23" s="101">
        <v>24.0</v>
      </c>
      <c r="H23" s="101">
        <v>24.0</v>
      </c>
      <c r="I23" s="160">
        <f t="shared" si="5"/>
        <v>6830</v>
      </c>
      <c r="J23" s="171" t="s">
        <v>238</v>
      </c>
      <c r="K23" s="162">
        <f t="shared" si="2"/>
        <v>6830</v>
      </c>
      <c r="L23" s="163"/>
      <c r="M23" s="101"/>
      <c r="N23" s="137">
        <f t="shared" si="3"/>
        <v>-1348.310669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 ht="15.75" customHeight="1">
      <c r="A24" s="159"/>
      <c r="B24" s="114">
        <v>10.0</v>
      </c>
      <c r="C24" s="101">
        <v>5.0</v>
      </c>
      <c r="D24" s="101">
        <v>10.0</v>
      </c>
      <c r="E24" s="101">
        <v>12.0</v>
      </c>
      <c r="F24" s="101">
        <v>12.0</v>
      </c>
      <c r="G24" s="101">
        <v>24.0</v>
      </c>
      <c r="H24" s="101">
        <v>24.0</v>
      </c>
      <c r="I24" s="160">
        <f t="shared" si="5"/>
        <v>5690</v>
      </c>
      <c r="J24" s="171" t="s">
        <v>139</v>
      </c>
      <c r="K24" s="162">
        <f t="shared" si="2"/>
        <v>5690</v>
      </c>
      <c r="L24" s="163"/>
      <c r="M24" s="101"/>
      <c r="N24" s="137">
        <f t="shared" si="3"/>
        <v>-955.1716529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ht="15.75" customHeight="1">
      <c r="A25" s="159"/>
      <c r="B25" s="114">
        <v>15.0</v>
      </c>
      <c r="C25" s="101">
        <v>10.0</v>
      </c>
      <c r="D25" s="101">
        <v>15.0</v>
      </c>
      <c r="E25" s="101">
        <v>24.0</v>
      </c>
      <c r="F25" s="101">
        <v>36.0</v>
      </c>
      <c r="G25" s="101">
        <v>24.0</v>
      </c>
      <c r="H25" s="101">
        <v>24.0</v>
      </c>
      <c r="I25" s="160">
        <f t="shared" si="5"/>
        <v>9685</v>
      </c>
      <c r="J25" s="171" t="s">
        <v>139</v>
      </c>
      <c r="K25" s="162">
        <f t="shared" si="2"/>
        <v>9685</v>
      </c>
      <c r="L25" s="163"/>
      <c r="M25" s="101"/>
      <c r="N25" s="137">
        <f t="shared" si="3"/>
        <v>-1920.562236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ht="15.75" customHeight="1">
      <c r="A26" s="159"/>
      <c r="B26" s="114"/>
      <c r="C26" s="101">
        <v>10.0</v>
      </c>
      <c r="D26" s="101">
        <v>10.0</v>
      </c>
      <c r="E26" s="101">
        <v>6.0</v>
      </c>
      <c r="F26" s="101">
        <v>12.0</v>
      </c>
      <c r="G26" s="101">
        <v>24.0</v>
      </c>
      <c r="H26" s="101">
        <v>24.0</v>
      </c>
      <c r="I26" s="160">
        <f t="shared" si="5"/>
        <v>4900</v>
      </c>
      <c r="J26" s="171" t="s">
        <v>139</v>
      </c>
      <c r="K26" s="162">
        <f t="shared" si="2"/>
        <v>4900</v>
      </c>
      <c r="L26" s="163"/>
      <c r="M26" s="101"/>
      <c r="N26" s="137">
        <f t="shared" si="3"/>
        <v>-655.476308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ht="15.75" customHeight="1">
      <c r="A27" s="159"/>
      <c r="B27" s="114">
        <v>15.0</v>
      </c>
      <c r="C27" s="101">
        <v>10.0</v>
      </c>
      <c r="D27" s="101">
        <v>15.0</v>
      </c>
      <c r="E27" s="101">
        <v>24.0</v>
      </c>
      <c r="F27" s="101">
        <v>36.0</v>
      </c>
      <c r="G27" s="101">
        <v>25.0</v>
      </c>
      <c r="H27" s="101">
        <v>25.0</v>
      </c>
      <c r="I27" s="160">
        <f t="shared" si="5"/>
        <v>9785</v>
      </c>
      <c r="J27" s="171" t="s">
        <v>139</v>
      </c>
      <c r="K27" s="162">
        <f t="shared" si="2"/>
        <v>9785</v>
      </c>
      <c r="L27" s="163"/>
      <c r="M27" s="101"/>
      <c r="N27" s="137">
        <f t="shared" si="3"/>
        <v>-2008.495212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ht="15.75" customHeight="1">
      <c r="A28" s="159"/>
      <c r="B28" s="114">
        <v>10.0</v>
      </c>
      <c r="C28" s="101"/>
      <c r="D28" s="101">
        <v>10.0</v>
      </c>
      <c r="E28" s="101">
        <v>12.0</v>
      </c>
      <c r="F28" s="101">
        <v>12.0</v>
      </c>
      <c r="G28" s="101">
        <v>24.0</v>
      </c>
      <c r="H28" s="101">
        <v>24.0</v>
      </c>
      <c r="I28" s="160">
        <f t="shared" si="5"/>
        <v>5490</v>
      </c>
      <c r="J28" s="171" t="s">
        <v>139</v>
      </c>
      <c r="K28" s="162">
        <f t="shared" si="2"/>
        <v>5490</v>
      </c>
      <c r="L28" s="163"/>
      <c r="M28" s="101"/>
      <c r="N28" s="137">
        <f t="shared" si="3"/>
        <v>-765.9310533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ht="15.75" customHeight="1">
      <c r="A29" s="159"/>
      <c r="B29" s="114">
        <v>15.0</v>
      </c>
      <c r="C29" s="101">
        <v>10.0</v>
      </c>
      <c r="D29" s="101">
        <v>15.0</v>
      </c>
      <c r="E29" s="101">
        <v>24.0</v>
      </c>
      <c r="F29" s="101">
        <v>36.0</v>
      </c>
      <c r="G29" s="101">
        <v>24.0</v>
      </c>
      <c r="H29" s="101">
        <v>24.0</v>
      </c>
      <c r="I29" s="160">
        <f t="shared" si="5"/>
        <v>9685</v>
      </c>
      <c r="J29" s="171" t="s">
        <v>239</v>
      </c>
      <c r="K29" s="162">
        <f t="shared" si="2"/>
        <v>9685</v>
      </c>
      <c r="L29" s="163"/>
      <c r="M29" s="101"/>
      <c r="N29" s="137">
        <f t="shared" si="3"/>
        <v>-1962.195168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ht="15.75" customHeight="1">
      <c r="A30" s="159"/>
      <c r="B30" s="114">
        <v>10.0</v>
      </c>
      <c r="C30" s="101">
        <v>10.0</v>
      </c>
      <c r="D30" s="101">
        <v>10.0</v>
      </c>
      <c r="E30" s="101">
        <v>12.0</v>
      </c>
      <c r="F30" s="101">
        <v>12.0</v>
      </c>
      <c r="G30" s="101">
        <v>24.0</v>
      </c>
      <c r="H30" s="101">
        <v>24.0</v>
      </c>
      <c r="I30" s="160">
        <f t="shared" si="5"/>
        <v>5890</v>
      </c>
      <c r="J30" s="171" t="s">
        <v>239</v>
      </c>
      <c r="K30" s="162">
        <f t="shared" si="2"/>
        <v>5890</v>
      </c>
      <c r="L30" s="163"/>
      <c r="M30" s="101"/>
      <c r="N30" s="137">
        <f t="shared" si="3"/>
        <v>-864.117063</v>
      </c>
      <c r="O30" s="1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ht="15.75" customHeight="1">
      <c r="A31" s="159"/>
      <c r="B31" s="114">
        <v>10.0</v>
      </c>
      <c r="C31" s="101">
        <v>10.0</v>
      </c>
      <c r="D31" s="101">
        <v>10.0</v>
      </c>
      <c r="E31" s="101">
        <v>24.0</v>
      </c>
      <c r="F31" s="101">
        <v>24.0</v>
      </c>
      <c r="G31" s="101">
        <v>24.0</v>
      </c>
      <c r="H31" s="101">
        <v>24.0</v>
      </c>
      <c r="I31" s="160">
        <f t="shared" si="5"/>
        <v>8110</v>
      </c>
      <c r="J31" s="171" t="s">
        <v>240</v>
      </c>
      <c r="K31" s="162">
        <f t="shared" si="2"/>
        <v>8110</v>
      </c>
      <c r="L31" s="163">
        <f>292+292</f>
        <v>584</v>
      </c>
      <c r="M31" s="101">
        <f>371+218</f>
        <v>589</v>
      </c>
      <c r="N31" s="137">
        <f t="shared" si="3"/>
        <v>-421.0942461</v>
      </c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ht="15.75" customHeight="1">
      <c r="A32" s="159"/>
      <c r="B32" s="114">
        <v>10.0</v>
      </c>
      <c r="C32" s="101">
        <v>10.0</v>
      </c>
      <c r="D32" s="101">
        <v>10.0</v>
      </c>
      <c r="E32" s="101">
        <v>12.0</v>
      </c>
      <c r="F32" s="101">
        <v>12.0</v>
      </c>
      <c r="G32" s="101">
        <v>24.0</v>
      </c>
      <c r="H32" s="101">
        <v>24.0</v>
      </c>
      <c r="I32" s="160">
        <f t="shared" si="5"/>
        <v>5890</v>
      </c>
      <c r="J32" s="171" t="s">
        <v>241</v>
      </c>
      <c r="K32" s="162">
        <f t="shared" si="2"/>
        <v>5890</v>
      </c>
      <c r="L32" s="163">
        <v>9.06</v>
      </c>
      <c r="M32" s="101">
        <v>131.15</v>
      </c>
      <c r="N32" s="137">
        <f t="shared" si="3"/>
        <v>-1062.949266</v>
      </c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 ht="15.75" customHeight="1">
      <c r="A33" s="159"/>
      <c r="B33" s="114">
        <v>10.0</v>
      </c>
      <c r="C33" s="101">
        <v>10.0</v>
      </c>
      <c r="D33" s="101">
        <v>10.0</v>
      </c>
      <c r="E33" s="101">
        <v>24.0</v>
      </c>
      <c r="F33" s="101">
        <v>24.0</v>
      </c>
      <c r="G33" s="101">
        <v>24.0</v>
      </c>
      <c r="H33" s="101">
        <v>24.0</v>
      </c>
      <c r="I33" s="160">
        <f t="shared" si="5"/>
        <v>8110</v>
      </c>
      <c r="J33" s="171" t="s">
        <v>242</v>
      </c>
      <c r="K33" s="162">
        <f t="shared" si="2"/>
        <v>8110</v>
      </c>
      <c r="L33" s="163">
        <v>500.0</v>
      </c>
      <c r="M33" s="101"/>
      <c r="N33" s="137">
        <f t="shared" si="3"/>
        <v>-1050.351162</v>
      </c>
      <c r="O33" s="73"/>
      <c r="P33" s="73">
        <f>I33+1710</f>
        <v>9820</v>
      </c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 ht="15.75" customHeight="1">
      <c r="A34" s="159">
        <v>45826.0</v>
      </c>
      <c r="B34" s="114">
        <v>10.0</v>
      </c>
      <c r="C34" s="101">
        <v>10.0</v>
      </c>
      <c r="D34" s="101">
        <v>10.0</v>
      </c>
      <c r="E34" s="101"/>
      <c r="F34" s="101"/>
      <c r="G34" s="101">
        <v>24.0</v>
      </c>
      <c r="H34" s="101"/>
      <c r="I34" s="160">
        <f t="shared" si="5"/>
        <v>2710</v>
      </c>
      <c r="J34" s="171" t="s">
        <v>243</v>
      </c>
      <c r="K34" s="162">
        <f t="shared" si="2"/>
        <v>2710</v>
      </c>
      <c r="L34" s="163">
        <v>136.0</v>
      </c>
      <c r="M34" s="101">
        <v>410.0</v>
      </c>
      <c r="N34" s="137">
        <f t="shared" si="3"/>
        <v>180.8772555</v>
      </c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ht="15.75" customHeight="1">
      <c r="A35" s="159">
        <v>45831.0</v>
      </c>
      <c r="B35" s="114">
        <v>10.0</v>
      </c>
      <c r="C35" s="101">
        <v>10.0</v>
      </c>
      <c r="D35" s="101">
        <v>10.0</v>
      </c>
      <c r="E35" s="101">
        <v>18.0</v>
      </c>
      <c r="F35" s="101">
        <v>24.0</v>
      </c>
      <c r="G35" s="101">
        <v>24.0</v>
      </c>
      <c r="H35" s="101">
        <v>24.0</v>
      </c>
      <c r="I35" s="160">
        <f t="shared" si="5"/>
        <v>7570</v>
      </c>
      <c r="J35" s="171" t="s">
        <v>243</v>
      </c>
      <c r="K35" s="162">
        <f t="shared" si="2"/>
        <v>7570</v>
      </c>
      <c r="L35" s="163">
        <v>52.0</v>
      </c>
      <c r="M35" s="101">
        <v>356.0</v>
      </c>
      <c r="N35" s="137">
        <f t="shared" si="3"/>
        <v>-1297.192996</v>
      </c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 ht="15.75" customHeight="1">
      <c r="A36" s="159">
        <v>45833.0</v>
      </c>
      <c r="B36" s="114">
        <v>10.0</v>
      </c>
      <c r="C36" s="101">
        <v>10.0</v>
      </c>
      <c r="D36" s="101">
        <v>10.0</v>
      </c>
      <c r="E36" s="101">
        <v>12.0</v>
      </c>
      <c r="F36" s="101">
        <v>18.0</v>
      </c>
      <c r="G36" s="101">
        <v>22.0</v>
      </c>
      <c r="H36" s="101">
        <v>24.0</v>
      </c>
      <c r="I36" s="160">
        <f t="shared" si="5"/>
        <v>6340</v>
      </c>
      <c r="J36" s="171" t="s">
        <v>243</v>
      </c>
      <c r="K36" s="162">
        <f t="shared" si="2"/>
        <v>6340</v>
      </c>
      <c r="L36" s="163"/>
      <c r="M36" s="101">
        <v>38.95</v>
      </c>
      <c r="N36" s="137">
        <f t="shared" si="3"/>
        <v>-1070.467541</v>
      </c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 ht="15.75" customHeight="1">
      <c r="A37" s="159"/>
      <c r="B37" s="114">
        <v>5.0</v>
      </c>
      <c r="C37" s="101">
        <v>5.0</v>
      </c>
      <c r="D37" s="101">
        <v>5.0</v>
      </c>
      <c r="E37" s="101">
        <v>12.0</v>
      </c>
      <c r="F37" s="101">
        <v>12.0</v>
      </c>
      <c r="G37" s="101">
        <v>12.0</v>
      </c>
      <c r="H37" s="101">
        <v>12.0</v>
      </c>
      <c r="I37" s="160">
        <f t="shared" si="5"/>
        <v>4055</v>
      </c>
      <c r="J37" s="171" t="s">
        <v>244</v>
      </c>
      <c r="K37" s="162">
        <f t="shared" si="2"/>
        <v>4055</v>
      </c>
      <c r="L37" s="163"/>
      <c r="M37" s="101"/>
      <c r="N37" s="137">
        <f t="shared" si="3"/>
        <v>-656.597141</v>
      </c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 ht="15.75" customHeight="1">
      <c r="A38" s="159"/>
      <c r="B38" s="114">
        <v>5.0</v>
      </c>
      <c r="C38" s="101">
        <v>5.0</v>
      </c>
      <c r="D38" s="101">
        <v>5.0</v>
      </c>
      <c r="E38" s="101">
        <v>12.0</v>
      </c>
      <c r="F38" s="101">
        <v>12.0</v>
      </c>
      <c r="G38" s="101">
        <v>12.0</v>
      </c>
      <c r="H38" s="101">
        <v>12.0</v>
      </c>
      <c r="I38" s="160">
        <f t="shared" si="5"/>
        <v>4055</v>
      </c>
      <c r="J38" s="171" t="s">
        <v>245</v>
      </c>
      <c r="K38" s="162">
        <f t="shared" si="2"/>
        <v>4055</v>
      </c>
      <c r="L38" s="163"/>
      <c r="M38" s="101"/>
      <c r="N38" s="137">
        <f t="shared" si="3"/>
        <v>-747.648629</v>
      </c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 ht="15.75" customHeight="1">
      <c r="A39" s="159">
        <v>45846.0</v>
      </c>
      <c r="B39" s="114"/>
      <c r="C39" s="101"/>
      <c r="D39" s="101"/>
      <c r="E39" s="101">
        <v>10.0</v>
      </c>
      <c r="F39" s="101">
        <v>10.0</v>
      </c>
      <c r="G39" s="101">
        <v>12.0</v>
      </c>
      <c r="H39" s="101">
        <v>12.0</v>
      </c>
      <c r="I39" s="160">
        <f t="shared" si="5"/>
        <v>3050</v>
      </c>
      <c r="J39" s="171" t="s">
        <v>246</v>
      </c>
      <c r="K39" s="162">
        <f t="shared" si="2"/>
        <v>3050</v>
      </c>
      <c r="L39" s="163"/>
      <c r="M39" s="101"/>
      <c r="N39" s="137">
        <f t="shared" si="3"/>
        <v>-506.5173016</v>
      </c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 ht="15.75" customHeight="1">
      <c r="A40" s="159">
        <v>45852.0</v>
      </c>
      <c r="B40" s="114"/>
      <c r="C40" s="101"/>
      <c r="D40" s="101"/>
      <c r="E40" s="101">
        <v>10.0</v>
      </c>
      <c r="F40" s="101">
        <v>10.0</v>
      </c>
      <c r="G40" s="101">
        <v>12.0</v>
      </c>
      <c r="H40" s="101">
        <v>12.0</v>
      </c>
      <c r="I40" s="160">
        <f t="shared" si="5"/>
        <v>3050</v>
      </c>
      <c r="J40" s="171" t="s">
        <v>246</v>
      </c>
      <c r="K40" s="162">
        <f t="shared" si="2"/>
        <v>3050</v>
      </c>
      <c r="L40" s="163"/>
      <c r="M40" s="101"/>
      <c r="N40" s="137">
        <f t="shared" si="3"/>
        <v>-559.5661936</v>
      </c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ht="15.75" customHeight="1">
      <c r="A41" s="159">
        <v>45860.0</v>
      </c>
      <c r="B41" s="114">
        <v>5.0</v>
      </c>
      <c r="C41" s="101">
        <v>5.0</v>
      </c>
      <c r="D41" s="101">
        <v>5.0</v>
      </c>
      <c r="E41" s="101">
        <v>12.0</v>
      </c>
      <c r="F41" s="101">
        <v>12.0</v>
      </c>
      <c r="G41" s="101">
        <v>12.0</v>
      </c>
      <c r="H41" s="101">
        <v>12.0</v>
      </c>
      <c r="I41" s="160">
        <f t="shared" si="5"/>
        <v>4055</v>
      </c>
      <c r="J41" s="171" t="s">
        <v>247</v>
      </c>
      <c r="K41" s="162">
        <f t="shared" si="2"/>
        <v>4055</v>
      </c>
      <c r="L41" s="163"/>
      <c r="M41" s="101"/>
      <c r="N41" s="137">
        <f t="shared" si="3"/>
        <v>-768.9954374</v>
      </c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 ht="15.75" customHeight="1">
      <c r="A42" s="159"/>
      <c r="B42" s="114"/>
      <c r="C42" s="101"/>
      <c r="D42" s="101"/>
      <c r="E42" s="101"/>
      <c r="F42" s="101"/>
      <c r="G42" s="101">
        <v>12.0</v>
      </c>
      <c r="H42" s="101">
        <v>12.0</v>
      </c>
      <c r="I42" s="160">
        <f t="shared" si="5"/>
        <v>1200</v>
      </c>
      <c r="J42" s="161">
        <v>45866.0</v>
      </c>
      <c r="K42" s="162">
        <f t="shared" si="2"/>
        <v>1200</v>
      </c>
      <c r="L42" s="163"/>
      <c r="M42" s="101"/>
      <c r="N42" s="137">
        <f t="shared" si="3"/>
        <v>-94.82100377</v>
      </c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 ht="15.75" customHeight="1">
      <c r="A43" s="159"/>
      <c r="B43" s="114">
        <v>10.0</v>
      </c>
      <c r="C43" s="101">
        <v>10.0</v>
      </c>
      <c r="D43" s="101">
        <v>10.0</v>
      </c>
      <c r="E43" s="101">
        <v>18.0</v>
      </c>
      <c r="F43" s="101">
        <v>18.0</v>
      </c>
      <c r="G43" s="101">
        <v>24.0</v>
      </c>
      <c r="H43" s="101">
        <v>24.0</v>
      </c>
      <c r="I43" s="160">
        <f t="shared" si="5"/>
        <v>7000</v>
      </c>
      <c r="J43" s="170">
        <v>45873.0</v>
      </c>
      <c r="K43" s="162">
        <f t="shared" si="2"/>
        <v>7000</v>
      </c>
      <c r="L43" s="163"/>
      <c r="M43" s="101"/>
      <c r="N43" s="137">
        <f t="shared" si="3"/>
        <v>-1519.139379</v>
      </c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 ht="15.75" customHeight="1">
      <c r="A44" s="159">
        <v>45874.0</v>
      </c>
      <c r="B44" s="114">
        <v>5.0</v>
      </c>
      <c r="C44" s="101"/>
      <c r="D44" s="101">
        <v>5.0</v>
      </c>
      <c r="E44" s="101">
        <v>6.0</v>
      </c>
      <c r="F44" s="101">
        <v>12.0</v>
      </c>
      <c r="G44" s="101">
        <v>12.0</v>
      </c>
      <c r="H44" s="101">
        <v>12.0</v>
      </c>
      <c r="I44" s="160">
        <f t="shared" si="5"/>
        <v>3315</v>
      </c>
      <c r="J44" s="161">
        <v>45875.0</v>
      </c>
      <c r="K44" s="162">
        <f t="shared" si="2"/>
        <v>3315</v>
      </c>
      <c r="L44" s="163"/>
      <c r="M44" s="101"/>
      <c r="N44" s="137">
        <f t="shared" si="3"/>
        <v>-395.0893366</v>
      </c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 ht="15.75" customHeight="1">
      <c r="A45" s="159">
        <v>45880.0</v>
      </c>
      <c r="B45" s="114">
        <v>10.0</v>
      </c>
      <c r="C45" s="101">
        <v>10.0</v>
      </c>
      <c r="D45" s="101">
        <v>10.0</v>
      </c>
      <c r="E45" s="101">
        <v>12.0</v>
      </c>
      <c r="F45" s="101">
        <v>12.0</v>
      </c>
      <c r="G45" s="101">
        <v>24.0</v>
      </c>
      <c r="H45" s="101">
        <v>16.0</v>
      </c>
      <c r="I45" s="160">
        <f t="shared" si="5"/>
        <v>5570</v>
      </c>
      <c r="J45" s="171" t="s">
        <v>248</v>
      </c>
      <c r="K45" s="162">
        <f t="shared" si="2"/>
        <v>5570</v>
      </c>
      <c r="L45" s="163"/>
      <c r="M45" s="101"/>
      <c r="N45" s="137">
        <f t="shared" si="3"/>
        <v>-1138.480346</v>
      </c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 ht="15.75" customHeight="1">
      <c r="A46" s="159"/>
      <c r="B46" s="114">
        <v>10.0</v>
      </c>
      <c r="C46" s="101">
        <v>10.0</v>
      </c>
      <c r="D46" s="101">
        <v>10.0</v>
      </c>
      <c r="E46" s="101">
        <v>24.0</v>
      </c>
      <c r="F46" s="101">
        <v>24.0</v>
      </c>
      <c r="G46" s="101">
        <v>24.0</v>
      </c>
      <c r="H46" s="101">
        <v>24.0</v>
      </c>
      <c r="I46" s="160">
        <f t="shared" si="5"/>
        <v>8110</v>
      </c>
      <c r="J46" s="171" t="s">
        <v>249</v>
      </c>
      <c r="K46" s="162">
        <f t="shared" si="2"/>
        <v>8110</v>
      </c>
      <c r="L46" s="163"/>
      <c r="M46" s="101"/>
      <c r="N46" s="137">
        <f t="shared" si="3"/>
        <v>-1533.734324</v>
      </c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 ht="15.75" customHeight="1">
      <c r="A47" s="159"/>
      <c r="B47" s="114">
        <v>20.0</v>
      </c>
      <c r="C47" s="101"/>
      <c r="D47" s="101">
        <v>20.0</v>
      </c>
      <c r="E47" s="101"/>
      <c r="F47" s="101"/>
      <c r="G47" s="101">
        <v>7.0</v>
      </c>
      <c r="H47" s="101">
        <v>12.0</v>
      </c>
      <c r="I47" s="160">
        <f t="shared" si="5"/>
        <v>2640</v>
      </c>
      <c r="J47" s="171" t="s">
        <v>249</v>
      </c>
      <c r="K47" s="162">
        <f t="shared" si="2"/>
        <v>2640</v>
      </c>
      <c r="L47" s="163"/>
      <c r="M47" s="101"/>
      <c r="N47" s="137">
        <f t="shared" si="3"/>
        <v>-243.3784487</v>
      </c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 ht="15.75" customHeight="1">
      <c r="A48" s="159"/>
      <c r="B48" s="114">
        <v>10.0</v>
      </c>
      <c r="C48" s="101">
        <v>10.0</v>
      </c>
      <c r="D48" s="101">
        <v>10.0</v>
      </c>
      <c r="E48" s="101">
        <v>24.0</v>
      </c>
      <c r="F48" s="101">
        <v>24.0</v>
      </c>
      <c r="G48" s="101">
        <v>24.0</v>
      </c>
      <c r="H48" s="101">
        <v>24.0</v>
      </c>
      <c r="I48" s="160">
        <f t="shared" si="5"/>
        <v>8110</v>
      </c>
      <c r="J48" s="171" t="s">
        <v>250</v>
      </c>
      <c r="K48" s="162">
        <f t="shared" si="2"/>
        <v>8110</v>
      </c>
      <c r="L48" s="163"/>
      <c r="M48" s="101"/>
      <c r="N48" s="137">
        <f t="shared" si="3"/>
        <v>-1730.656741</v>
      </c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 ht="15.75" customHeight="1">
      <c r="A49" s="159"/>
      <c r="B49" s="114">
        <v>10.0</v>
      </c>
      <c r="C49" s="101">
        <v>10.0</v>
      </c>
      <c r="D49" s="101">
        <v>10.0</v>
      </c>
      <c r="E49" s="101">
        <v>24.0</v>
      </c>
      <c r="F49" s="101">
        <v>24.0</v>
      </c>
      <c r="G49" s="101">
        <v>24.0</v>
      </c>
      <c r="H49" s="101">
        <v>24.0</v>
      </c>
      <c r="I49" s="160">
        <f t="shared" si="5"/>
        <v>8110</v>
      </c>
      <c r="J49" s="170">
        <v>45896.0</v>
      </c>
      <c r="K49" s="162">
        <f t="shared" si="2"/>
        <v>8110</v>
      </c>
      <c r="L49" s="163"/>
      <c r="M49" s="101"/>
      <c r="N49" s="137">
        <f t="shared" si="3"/>
        <v>-1403.455517</v>
      </c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 ht="15.75" customHeight="1">
      <c r="A50" s="159"/>
      <c r="B50" s="114">
        <v>5.0</v>
      </c>
      <c r="C50" s="101">
        <v>0.0</v>
      </c>
      <c r="D50" s="101">
        <v>5.0</v>
      </c>
      <c r="E50" s="101">
        <v>10.0</v>
      </c>
      <c r="F50" s="101">
        <v>10.0</v>
      </c>
      <c r="G50" s="101">
        <v>12.0</v>
      </c>
      <c r="H50" s="101">
        <v>24.0</v>
      </c>
      <c r="I50" s="160">
        <f t="shared" si="5"/>
        <v>3965</v>
      </c>
      <c r="J50" s="170">
        <v>45896.0</v>
      </c>
      <c r="K50" s="162">
        <f t="shared" si="2"/>
        <v>3965</v>
      </c>
      <c r="L50" s="163"/>
      <c r="M50" s="101"/>
      <c r="N50" s="137">
        <f t="shared" si="3"/>
        <v>-563.5397863</v>
      </c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 ht="15.75" customHeight="1">
      <c r="A51" s="159"/>
      <c r="B51" s="114">
        <v>10.0</v>
      </c>
      <c r="C51" s="101">
        <v>10.0</v>
      </c>
      <c r="D51" s="101">
        <v>10.0</v>
      </c>
      <c r="E51" s="101">
        <v>24.0</v>
      </c>
      <c r="F51" s="101">
        <v>24.0</v>
      </c>
      <c r="G51" s="101">
        <v>24.0</v>
      </c>
      <c r="H51" s="101">
        <v>24.0</v>
      </c>
      <c r="I51" s="160">
        <f t="shared" si="5"/>
        <v>8110</v>
      </c>
      <c r="J51" s="171" t="s">
        <v>251</v>
      </c>
      <c r="K51" s="162">
        <f t="shared" si="2"/>
        <v>8110</v>
      </c>
      <c r="L51" s="163"/>
      <c r="M51" s="101"/>
      <c r="N51" s="137">
        <f t="shared" si="3"/>
        <v>-1660.221247</v>
      </c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 ht="15.75" customHeight="1">
      <c r="A52" s="159"/>
      <c r="B52" s="114">
        <v>10.0</v>
      </c>
      <c r="C52" s="101">
        <v>5.0</v>
      </c>
      <c r="D52" s="101">
        <v>10.0</v>
      </c>
      <c r="E52" s="101">
        <v>24.0</v>
      </c>
      <c r="F52" s="101">
        <v>24.0</v>
      </c>
      <c r="G52" s="101">
        <v>24.0</v>
      </c>
      <c r="H52" s="101">
        <v>24.0</v>
      </c>
      <c r="I52" s="160">
        <f t="shared" si="5"/>
        <v>7910</v>
      </c>
      <c r="J52" s="171" t="s">
        <v>252</v>
      </c>
      <c r="K52" s="162">
        <f t="shared" si="2"/>
        <v>7910</v>
      </c>
      <c r="L52" s="163"/>
      <c r="M52" s="101"/>
      <c r="N52" s="137">
        <f t="shared" si="3"/>
        <v>-1374.951326</v>
      </c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ht="15.75" customHeight="1">
      <c r="A53" s="159"/>
      <c r="B53" s="114"/>
      <c r="C53" s="101"/>
      <c r="D53" s="101"/>
      <c r="E53" s="101"/>
      <c r="F53" s="101"/>
      <c r="G53" s="101"/>
      <c r="H53" s="101"/>
      <c r="I53" s="160">
        <f t="shared" ref="I53:I80" si="6">B53*$R$5+C53*$R$6+D53*$R$7+E53*$R$8+F53*$R$9</f>
        <v>0</v>
      </c>
      <c r="J53" s="171"/>
      <c r="K53" s="162">
        <f t="shared" si="2"/>
        <v>0</v>
      </c>
      <c r="L53" s="163"/>
      <c r="M53" s="101"/>
      <c r="N53" s="137">
        <f t="shared" si="3"/>
        <v>302.4892916</v>
      </c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 ht="15.75" customHeight="1">
      <c r="A54" s="159"/>
      <c r="B54" s="114"/>
      <c r="C54" s="101"/>
      <c r="D54" s="101"/>
      <c r="E54" s="101"/>
      <c r="F54" s="101"/>
      <c r="G54" s="101"/>
      <c r="H54" s="101"/>
      <c r="I54" s="160">
        <f t="shared" si="6"/>
        <v>0</v>
      </c>
      <c r="J54" s="171"/>
      <c r="K54" s="162">
        <f t="shared" si="2"/>
        <v>0</v>
      </c>
      <c r="L54" s="163"/>
      <c r="M54" s="101"/>
      <c r="N54" s="137">
        <f t="shared" si="3"/>
        <v>-66.54764416</v>
      </c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 ht="15.75" customHeight="1">
      <c r="A55" s="159"/>
      <c r="B55" s="114"/>
      <c r="C55" s="101"/>
      <c r="D55" s="101"/>
      <c r="E55" s="101"/>
      <c r="F55" s="101"/>
      <c r="G55" s="101"/>
      <c r="H55" s="101"/>
      <c r="I55" s="160">
        <f t="shared" si="6"/>
        <v>0</v>
      </c>
      <c r="J55" s="171"/>
      <c r="K55" s="162">
        <f t="shared" si="2"/>
        <v>0</v>
      </c>
      <c r="L55" s="163"/>
      <c r="M55" s="101"/>
      <c r="N55" s="137">
        <f t="shared" si="3"/>
        <v>14.64048172</v>
      </c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 ht="15.75" customHeight="1">
      <c r="A56" s="159"/>
      <c r="B56" s="114"/>
      <c r="C56" s="101"/>
      <c r="D56" s="101"/>
      <c r="E56" s="101"/>
      <c r="F56" s="101"/>
      <c r="G56" s="101"/>
      <c r="H56" s="101"/>
      <c r="I56" s="160">
        <f t="shared" si="6"/>
        <v>0</v>
      </c>
      <c r="J56" s="171"/>
      <c r="K56" s="162">
        <f t="shared" si="2"/>
        <v>0</v>
      </c>
      <c r="L56" s="163"/>
      <c r="M56" s="101"/>
      <c r="N56" s="137">
        <f t="shared" si="3"/>
        <v>-3.220905977</v>
      </c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 ht="15.75" customHeight="1">
      <c r="A57" s="159"/>
      <c r="B57" s="114"/>
      <c r="C57" s="101"/>
      <c r="D57" s="101"/>
      <c r="E57" s="101"/>
      <c r="F57" s="101"/>
      <c r="G57" s="101"/>
      <c r="H57" s="101"/>
      <c r="I57" s="160">
        <f t="shared" si="6"/>
        <v>0</v>
      </c>
      <c r="J57" s="171"/>
      <c r="K57" s="162">
        <f t="shared" si="2"/>
        <v>0</v>
      </c>
      <c r="L57" s="163"/>
      <c r="M57" s="101"/>
      <c r="N57" s="137">
        <f t="shared" si="3"/>
        <v>0.708599315</v>
      </c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 ht="15.75" customHeight="1">
      <c r="A58" s="159"/>
      <c r="B58" s="114"/>
      <c r="C58" s="101"/>
      <c r="D58" s="101"/>
      <c r="E58" s="101"/>
      <c r="F58" s="101"/>
      <c r="G58" s="101"/>
      <c r="H58" s="101"/>
      <c r="I58" s="160">
        <f t="shared" si="6"/>
        <v>0</v>
      </c>
      <c r="J58" s="171"/>
      <c r="K58" s="162">
        <f t="shared" si="2"/>
        <v>0</v>
      </c>
      <c r="L58" s="163"/>
      <c r="M58" s="101"/>
      <c r="N58" s="137">
        <f t="shared" si="3"/>
        <v>-0.1558918493</v>
      </c>
      <c r="O58" s="172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 ht="15.75" customHeight="1">
      <c r="A59" s="159"/>
      <c r="B59" s="114"/>
      <c r="C59" s="101"/>
      <c r="D59" s="101"/>
      <c r="E59" s="101"/>
      <c r="F59" s="101"/>
      <c r="G59" s="101"/>
      <c r="H59" s="101"/>
      <c r="I59" s="160">
        <f t="shared" si="6"/>
        <v>0</v>
      </c>
      <c r="J59" s="171"/>
      <c r="K59" s="162">
        <f t="shared" si="2"/>
        <v>0</v>
      </c>
      <c r="L59" s="163"/>
      <c r="M59" s="101"/>
      <c r="N59" s="137">
        <f t="shared" si="3"/>
        <v>0.03429620685</v>
      </c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 ht="15.75" customHeight="1">
      <c r="A60" s="159"/>
      <c r="B60" s="114"/>
      <c r="C60" s="101"/>
      <c r="D60" s="101"/>
      <c r="E60" s="101"/>
      <c r="F60" s="101"/>
      <c r="G60" s="101"/>
      <c r="H60" s="101"/>
      <c r="I60" s="160">
        <f t="shared" si="6"/>
        <v>0</v>
      </c>
      <c r="J60" s="171"/>
      <c r="K60" s="162">
        <f t="shared" si="2"/>
        <v>0</v>
      </c>
      <c r="L60" s="163"/>
      <c r="M60" s="101"/>
      <c r="N60" s="137">
        <f t="shared" si="3"/>
        <v>-0.007545165506</v>
      </c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 ht="15.75" customHeight="1">
      <c r="A61" s="159"/>
      <c r="B61" s="114"/>
      <c r="C61" s="101"/>
      <c r="D61" s="101"/>
      <c r="E61" s="101"/>
      <c r="F61" s="101"/>
      <c r="G61" s="101"/>
      <c r="H61" s="101"/>
      <c r="I61" s="160">
        <f t="shared" si="6"/>
        <v>0</v>
      </c>
      <c r="J61" s="171"/>
      <c r="K61" s="162">
        <f t="shared" si="2"/>
        <v>0</v>
      </c>
      <c r="L61" s="163"/>
      <c r="M61" s="101"/>
      <c r="N61" s="137">
        <f t="shared" si="3"/>
        <v>0.001659936411</v>
      </c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 ht="15.75" customHeight="1">
      <c r="A62" s="159"/>
      <c r="B62" s="114"/>
      <c r="C62" s="101"/>
      <c r="D62" s="101"/>
      <c r="E62" s="101"/>
      <c r="F62" s="101"/>
      <c r="G62" s="101"/>
      <c r="H62" s="101"/>
      <c r="I62" s="160">
        <f t="shared" si="6"/>
        <v>0</v>
      </c>
      <c r="J62" s="171"/>
      <c r="K62" s="162">
        <f t="shared" si="2"/>
        <v>0</v>
      </c>
      <c r="L62" s="163"/>
      <c r="M62" s="101"/>
      <c r="N62" s="137">
        <f t="shared" si="3"/>
        <v>-0.0003651860105</v>
      </c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 ht="15.75" customHeight="1">
      <c r="A63" s="159"/>
      <c r="B63" s="114"/>
      <c r="C63" s="101"/>
      <c r="D63" s="101"/>
      <c r="E63" s="101"/>
      <c r="F63" s="101"/>
      <c r="G63" s="101"/>
      <c r="H63" s="101"/>
      <c r="I63" s="160">
        <f t="shared" si="6"/>
        <v>0</v>
      </c>
      <c r="J63" s="171"/>
      <c r="K63" s="162">
        <f t="shared" si="2"/>
        <v>0</v>
      </c>
      <c r="L63" s="163"/>
      <c r="M63" s="101"/>
      <c r="N63" s="137">
        <f t="shared" si="3"/>
        <v>0.00008034092231</v>
      </c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 ht="15.75" customHeight="1">
      <c r="A64" s="159"/>
      <c r="B64" s="114"/>
      <c r="C64" s="101"/>
      <c r="D64" s="101"/>
      <c r="E64" s="101"/>
      <c r="F64" s="101"/>
      <c r="G64" s="101"/>
      <c r="H64" s="101"/>
      <c r="I64" s="160">
        <f t="shared" si="6"/>
        <v>0</v>
      </c>
      <c r="J64" s="171"/>
      <c r="K64" s="162">
        <f t="shared" si="2"/>
        <v>0</v>
      </c>
      <c r="L64" s="163"/>
      <c r="M64" s="101"/>
      <c r="N64" s="137">
        <f t="shared" si="3"/>
        <v>-0.00001767500291</v>
      </c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 ht="15.75" customHeight="1">
      <c r="A65" s="159"/>
      <c r="B65" s="114"/>
      <c r="C65" s="101"/>
      <c r="D65" s="101"/>
      <c r="E65" s="101"/>
      <c r="F65" s="101"/>
      <c r="G65" s="101"/>
      <c r="H65" s="101"/>
      <c r="I65" s="160">
        <f t="shared" si="6"/>
        <v>0</v>
      </c>
      <c r="J65" s="171"/>
      <c r="K65" s="162">
        <f t="shared" si="2"/>
        <v>0</v>
      </c>
      <c r="L65" s="163"/>
      <c r="M65" s="101"/>
      <c r="N65" s="137">
        <f t="shared" si="3"/>
        <v>0.00000388850064</v>
      </c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 ht="15.75" customHeight="1">
      <c r="A66" s="159"/>
      <c r="B66" s="114"/>
      <c r="C66" s="101"/>
      <c r="D66" s="101"/>
      <c r="E66" s="101"/>
      <c r="F66" s="101"/>
      <c r="G66" s="101"/>
      <c r="H66" s="101"/>
      <c r="I66" s="160">
        <f t="shared" si="6"/>
        <v>0</v>
      </c>
      <c r="J66" s="171"/>
      <c r="K66" s="162">
        <f t="shared" si="2"/>
        <v>0</v>
      </c>
      <c r="L66" s="163"/>
      <c r="M66" s="101"/>
      <c r="N66" s="137">
        <f t="shared" si="3"/>
        <v>-0.0000008554701408</v>
      </c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 ht="15.75" customHeight="1">
      <c r="A67" s="159"/>
      <c r="B67" s="114"/>
      <c r="C67" s="101"/>
      <c r="D67" s="101"/>
      <c r="E67" s="101"/>
      <c r="F67" s="101"/>
      <c r="G67" s="101"/>
      <c r="H67" s="101"/>
      <c r="I67" s="160">
        <f t="shared" si="6"/>
        <v>0</v>
      </c>
      <c r="J67" s="171"/>
      <c r="K67" s="162">
        <f t="shared" si="2"/>
        <v>0</v>
      </c>
      <c r="L67" s="163"/>
      <c r="M67" s="101"/>
      <c r="N67" s="137">
        <f t="shared" si="3"/>
        <v>0.000000188203431</v>
      </c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 ht="15.75" customHeight="1">
      <c r="A68" s="159"/>
      <c r="B68" s="114"/>
      <c r="C68" s="101"/>
      <c r="D68" s="101"/>
      <c r="E68" s="101"/>
      <c r="F68" s="101"/>
      <c r="G68" s="101"/>
      <c r="H68" s="101"/>
      <c r="I68" s="160">
        <f t="shared" si="6"/>
        <v>0</v>
      </c>
      <c r="J68" s="171"/>
      <c r="K68" s="162">
        <f t="shared" si="2"/>
        <v>0</v>
      </c>
      <c r="L68" s="163"/>
      <c r="M68" s="101"/>
      <c r="N68" s="137">
        <f t="shared" si="3"/>
        <v>-0.00000004140475481</v>
      </c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 ht="15.75" customHeight="1">
      <c r="A69" s="159"/>
      <c r="B69" s="114"/>
      <c r="C69" s="101"/>
      <c r="D69" s="101"/>
      <c r="E69" s="101"/>
      <c r="F69" s="101"/>
      <c r="G69" s="101"/>
      <c r="H69" s="101"/>
      <c r="I69" s="160">
        <f t="shared" si="6"/>
        <v>0</v>
      </c>
      <c r="J69" s="171"/>
      <c r="K69" s="162">
        <f t="shared" si="2"/>
        <v>0</v>
      </c>
      <c r="L69" s="163"/>
      <c r="M69" s="101"/>
      <c r="N69" s="137">
        <f t="shared" si="3"/>
        <v>0.000000009109046059</v>
      </c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 ht="15.75" customHeight="1">
      <c r="A70" s="159"/>
      <c r="B70" s="114"/>
      <c r="C70" s="101"/>
      <c r="D70" s="101"/>
      <c r="E70" s="101"/>
      <c r="F70" s="101"/>
      <c r="G70" s="101"/>
      <c r="H70" s="101"/>
      <c r="I70" s="160">
        <f t="shared" si="6"/>
        <v>0</v>
      </c>
      <c r="J70" s="171"/>
      <c r="K70" s="162">
        <f t="shared" si="2"/>
        <v>0</v>
      </c>
      <c r="L70" s="163"/>
      <c r="M70" s="101"/>
      <c r="N70" s="137">
        <f t="shared" si="3"/>
        <v>-0.000000002003990133</v>
      </c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 ht="15.75" customHeight="1">
      <c r="A71" s="159"/>
      <c r="B71" s="114"/>
      <c r="C71" s="101"/>
      <c r="D71" s="101"/>
      <c r="E71" s="101"/>
      <c r="F71" s="101"/>
      <c r="G71" s="101"/>
      <c r="H71" s="101"/>
      <c r="I71" s="160">
        <f t="shared" si="6"/>
        <v>0</v>
      </c>
      <c r="J71" s="171"/>
      <c r="K71" s="162">
        <f t="shared" si="2"/>
        <v>0</v>
      </c>
      <c r="L71" s="163"/>
      <c r="M71" s="101"/>
      <c r="N71" s="137">
        <f t="shared" si="3"/>
        <v>0.0000000004408778293</v>
      </c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 ht="15.75" customHeight="1">
      <c r="A72" s="159"/>
      <c r="B72" s="114"/>
      <c r="C72" s="101"/>
      <c r="D72" s="101"/>
      <c r="E72" s="101"/>
      <c r="F72" s="101"/>
      <c r="G72" s="101"/>
      <c r="H72" s="101"/>
      <c r="I72" s="160">
        <f t="shared" si="6"/>
        <v>0</v>
      </c>
      <c r="J72" s="171"/>
      <c r="K72" s="162">
        <f t="shared" si="2"/>
        <v>0</v>
      </c>
      <c r="L72" s="163"/>
      <c r="M72" s="101"/>
      <c r="N72" s="137">
        <f t="shared" si="3"/>
        <v>0</v>
      </c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 ht="15.75" customHeight="1">
      <c r="A73" s="159"/>
      <c r="B73" s="114"/>
      <c r="C73" s="101"/>
      <c r="D73" s="101"/>
      <c r="E73" s="101"/>
      <c r="F73" s="101"/>
      <c r="G73" s="101"/>
      <c r="H73" s="101"/>
      <c r="I73" s="160">
        <f t="shared" si="6"/>
        <v>0</v>
      </c>
      <c r="J73" s="171"/>
      <c r="K73" s="162">
        <f t="shared" si="2"/>
        <v>0</v>
      </c>
      <c r="L73" s="163"/>
      <c r="M73" s="101"/>
      <c r="N73" s="137">
        <f t="shared" si="3"/>
        <v>0</v>
      </c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 ht="15.75" customHeight="1">
      <c r="A74" s="159"/>
      <c r="B74" s="114"/>
      <c r="C74" s="101"/>
      <c r="D74" s="101"/>
      <c r="E74" s="101"/>
      <c r="F74" s="101"/>
      <c r="G74" s="101"/>
      <c r="H74" s="101"/>
      <c r="I74" s="160">
        <f t="shared" si="6"/>
        <v>0</v>
      </c>
      <c r="J74" s="171"/>
      <c r="K74" s="162">
        <f t="shared" si="2"/>
        <v>0</v>
      </c>
      <c r="L74" s="163"/>
      <c r="M74" s="101"/>
      <c r="N74" s="137">
        <f t="shared" si="3"/>
        <v>0</v>
      </c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 ht="15.75" customHeight="1">
      <c r="A75" s="159"/>
      <c r="B75" s="114"/>
      <c r="C75" s="101"/>
      <c r="D75" s="101"/>
      <c r="E75" s="101"/>
      <c r="F75" s="101"/>
      <c r="G75" s="101"/>
      <c r="H75" s="101"/>
      <c r="I75" s="160">
        <f t="shared" si="6"/>
        <v>0</v>
      </c>
      <c r="J75" s="171"/>
      <c r="K75" s="162">
        <f t="shared" si="2"/>
        <v>0</v>
      </c>
      <c r="L75" s="163"/>
      <c r="M75" s="101"/>
      <c r="N75" s="137">
        <f t="shared" si="3"/>
        <v>0</v>
      </c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 ht="15.75" customHeight="1">
      <c r="A76" s="159"/>
      <c r="B76" s="114"/>
      <c r="C76" s="101"/>
      <c r="D76" s="101"/>
      <c r="E76" s="101"/>
      <c r="F76" s="101"/>
      <c r="G76" s="101"/>
      <c r="H76" s="101"/>
      <c r="I76" s="160">
        <f t="shared" si="6"/>
        <v>0</v>
      </c>
      <c r="J76" s="171"/>
      <c r="K76" s="162">
        <f t="shared" si="2"/>
        <v>0</v>
      </c>
      <c r="L76" s="163"/>
      <c r="M76" s="101"/>
      <c r="N76" s="137">
        <f t="shared" si="3"/>
        <v>0</v>
      </c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 ht="15.75" customHeight="1">
      <c r="A77" s="159"/>
      <c r="B77" s="114"/>
      <c r="C77" s="101"/>
      <c r="D77" s="101"/>
      <c r="E77" s="101"/>
      <c r="F77" s="101"/>
      <c r="G77" s="101"/>
      <c r="H77" s="101"/>
      <c r="I77" s="160">
        <f t="shared" si="6"/>
        <v>0</v>
      </c>
      <c r="J77" s="171"/>
      <c r="K77" s="162">
        <f t="shared" si="2"/>
        <v>0</v>
      </c>
      <c r="L77" s="163"/>
      <c r="M77" s="101"/>
      <c r="N77" s="137">
        <f t="shared" si="3"/>
        <v>0</v>
      </c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 ht="15.75" customHeight="1">
      <c r="A78" s="173"/>
      <c r="B78" s="93"/>
      <c r="C78" s="94"/>
      <c r="D78" s="94"/>
      <c r="E78" s="94"/>
      <c r="F78" s="94"/>
      <c r="G78" s="94"/>
      <c r="H78" s="94"/>
      <c r="I78" s="160">
        <f t="shared" si="6"/>
        <v>0</v>
      </c>
      <c r="J78" s="174"/>
      <c r="K78" s="162">
        <f t="shared" si="2"/>
        <v>0</v>
      </c>
      <c r="L78" s="163"/>
      <c r="M78" s="101"/>
      <c r="N78" s="137">
        <f t="shared" si="3"/>
        <v>0</v>
      </c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 ht="15.75" customHeight="1">
      <c r="A79" s="173"/>
      <c r="B79" s="93"/>
      <c r="C79" s="94"/>
      <c r="D79" s="94"/>
      <c r="E79" s="94"/>
      <c r="F79" s="94"/>
      <c r="G79" s="94"/>
      <c r="H79" s="94"/>
      <c r="I79" s="160">
        <f t="shared" si="6"/>
        <v>0</v>
      </c>
      <c r="J79" s="174"/>
      <c r="K79" s="162">
        <f t="shared" si="2"/>
        <v>0</v>
      </c>
      <c r="L79" s="163"/>
      <c r="M79" s="101"/>
      <c r="N79" s="137">
        <f t="shared" si="3"/>
        <v>0</v>
      </c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 ht="15.75" customHeight="1">
      <c r="A80" s="173"/>
      <c r="B80" s="93"/>
      <c r="C80" s="94"/>
      <c r="D80" s="94"/>
      <c r="E80" s="94"/>
      <c r="F80" s="94"/>
      <c r="G80" s="94"/>
      <c r="H80" s="94"/>
      <c r="I80" s="160">
        <f t="shared" si="6"/>
        <v>0</v>
      </c>
      <c r="J80" s="174"/>
      <c r="K80" s="162">
        <f t="shared" si="2"/>
        <v>0</v>
      </c>
      <c r="L80" s="163"/>
      <c r="M80" s="101"/>
      <c r="N80" s="137">
        <f t="shared" si="3"/>
        <v>0</v>
      </c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 ht="15.75" customHeight="1">
      <c r="A221" s="120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 ht="15.75" customHeight="1">
      <c r="A222" s="120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 ht="15.75" customHeight="1">
      <c r="A223" s="120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 ht="15.75" customHeight="1">
      <c r="A224" s="120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 ht="15.75" customHeight="1">
      <c r="A225" s="120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 ht="15.75" customHeight="1">
      <c r="A226" s="120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 ht="15.75" customHeight="1">
      <c r="A227" s="120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 ht="15.75" customHeight="1">
      <c r="A228" s="120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 ht="15.75" customHeight="1">
      <c r="A229" s="120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 ht="15.75" customHeight="1">
      <c r="A230" s="120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 ht="15.75" customHeight="1">
      <c r="A231" s="120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 ht="15.75" customHeight="1">
      <c r="A232" s="120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 ht="15.75" customHeight="1">
      <c r="A233" s="120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 ht="15.75" customHeight="1">
      <c r="A234" s="120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 ht="15.75" customHeight="1">
      <c r="A235" s="120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 ht="15.75" customHeight="1">
      <c r="A236" s="120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 ht="15.75" customHeight="1">
      <c r="A237" s="120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 ht="15.75" customHeight="1">
      <c r="A238" s="120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 ht="15.75" customHeight="1">
      <c r="A239" s="120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 ht="15.75" customHeight="1">
      <c r="A240" s="120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 ht="15.75" customHeight="1">
      <c r="A241" s="120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 ht="15.75" customHeight="1">
      <c r="A242" s="120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 ht="15.75" customHeight="1">
      <c r="A243" s="120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 ht="15.75" customHeight="1">
      <c r="A244" s="120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 ht="15.75" customHeight="1">
      <c r="A245" s="120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 ht="15.75" customHeight="1">
      <c r="A246" s="120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 ht="15.75" customHeight="1">
      <c r="A247" s="120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 ht="15.75" customHeight="1">
      <c r="A248" s="120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 ht="15.75" customHeight="1">
      <c r="A249" s="120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 ht="15.75" customHeight="1">
      <c r="A250" s="120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 ht="15.75" customHeight="1">
      <c r="A251" s="120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 ht="15.75" customHeight="1">
      <c r="A252" s="120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 ht="15.75" customHeight="1">
      <c r="A253" s="120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 ht="15.75" customHeight="1">
      <c r="A254" s="120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 ht="15.75" customHeight="1">
      <c r="A255" s="120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 ht="15.75" customHeight="1">
      <c r="A256" s="120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 ht="15.75" customHeight="1">
      <c r="A257" s="120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 ht="15.75" customHeight="1">
      <c r="A258" s="120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 ht="15.75" customHeight="1">
      <c r="A259" s="120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 ht="15.75" customHeight="1">
      <c r="A260" s="120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 ht="15.75" customHeight="1">
      <c r="A261" s="120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 ht="15.75" customHeight="1">
      <c r="A262" s="120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 ht="15.75" customHeight="1">
      <c r="A263" s="120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 ht="15.75" customHeight="1">
      <c r="A264" s="120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 ht="15.75" customHeight="1">
      <c r="A265" s="120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 ht="15.75" customHeight="1">
      <c r="A266" s="120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 ht="15.75" customHeight="1">
      <c r="A267" s="120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 ht="15.75" customHeight="1">
      <c r="A268" s="120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 ht="15.75" customHeight="1">
      <c r="A269" s="120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 ht="15.75" customHeight="1">
      <c r="A270" s="120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 ht="15.75" customHeight="1">
      <c r="A271" s="120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 ht="15.75" customHeight="1">
      <c r="A272" s="120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 ht="15.75" customHeight="1">
      <c r="A273" s="120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 ht="15.75" customHeight="1">
      <c r="A274" s="120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 ht="15.75" customHeight="1">
      <c r="A275" s="120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 ht="15.75" customHeight="1">
      <c r="A276" s="120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 ht="15.75" customHeight="1">
      <c r="A277" s="120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 ht="15.75" customHeight="1">
      <c r="A278" s="120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 ht="15.75" customHeight="1">
      <c r="A279" s="120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 ht="15.75" customHeight="1">
      <c r="A280" s="120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A2"/>
    <mergeCell ref="B1:F1"/>
    <mergeCell ref="I1:J1"/>
    <mergeCell ref="K1:N1"/>
    <mergeCell ref="P1:Q1"/>
    <mergeCell ref="P3:Q4"/>
    <mergeCell ref="R3:R4"/>
    <mergeCell ref="P10:Q10"/>
    <mergeCell ref="P11:Q11"/>
    <mergeCell ref="S3:S4"/>
    <mergeCell ref="T3:T4"/>
    <mergeCell ref="P5:Q5"/>
    <mergeCell ref="P6:Q6"/>
    <mergeCell ref="P7:Q7"/>
    <mergeCell ref="P8:Q8"/>
    <mergeCell ref="P9:Q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2" width="16.25"/>
    <col customWidth="1" min="13" max="13" width="14.13"/>
    <col customWidth="1" min="14" max="15" width="16.0"/>
    <col customWidth="1" min="16" max="16" width="7.75"/>
    <col customWidth="1" min="17" max="17" width="13.63"/>
    <col customWidth="1" hidden="1" min="23" max="24" width="12.63"/>
  </cols>
  <sheetData>
    <row r="1" ht="15.75" customHeight="1">
      <c r="A1" s="75" t="s">
        <v>253</v>
      </c>
      <c r="B1" s="68" t="s">
        <v>120</v>
      </c>
      <c r="C1" s="69"/>
      <c r="D1" s="69"/>
      <c r="E1" s="69"/>
      <c r="F1" s="69"/>
      <c r="G1" s="69"/>
      <c r="H1" s="69"/>
      <c r="I1" s="71"/>
      <c r="J1" s="70" t="s">
        <v>121</v>
      </c>
      <c r="K1" s="71"/>
      <c r="L1" s="157" t="s">
        <v>122</v>
      </c>
      <c r="M1" s="69"/>
      <c r="N1" s="69"/>
      <c r="O1" s="71"/>
      <c r="P1" s="73"/>
      <c r="Q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 ht="15.75" customHeight="1">
      <c r="A2" s="49"/>
      <c r="B2" s="158" t="s">
        <v>254</v>
      </c>
      <c r="C2" s="158" t="s">
        <v>255</v>
      </c>
      <c r="D2" s="158" t="s">
        <v>256</v>
      </c>
      <c r="E2" s="68" t="s">
        <v>257</v>
      </c>
      <c r="F2" s="68" t="s">
        <v>258</v>
      </c>
      <c r="G2" s="68" t="s">
        <v>259</v>
      </c>
      <c r="H2" s="68" t="s">
        <v>260</v>
      </c>
      <c r="I2" s="68" t="s">
        <v>261</v>
      </c>
      <c r="J2" s="158" t="s">
        <v>127</v>
      </c>
      <c r="K2" s="158" t="s">
        <v>200</v>
      </c>
      <c r="L2" s="84" t="s">
        <v>133</v>
      </c>
      <c r="M2" s="84" t="s">
        <v>262</v>
      </c>
      <c r="N2" s="84" t="s">
        <v>263</v>
      </c>
      <c r="O2" s="84" t="s">
        <v>136</v>
      </c>
      <c r="P2" s="73"/>
      <c r="Q2" s="73"/>
      <c r="R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</row>
    <row r="3" ht="15.75" customHeight="1">
      <c r="A3" s="173">
        <v>45709.0</v>
      </c>
      <c r="B3" s="94">
        <v>2.0</v>
      </c>
      <c r="C3" s="94">
        <v>1.0</v>
      </c>
      <c r="D3" s="94">
        <v>1.0</v>
      </c>
      <c r="E3" s="94"/>
      <c r="F3" s="101"/>
      <c r="G3" s="101">
        <v>1.0</v>
      </c>
      <c r="H3" s="101"/>
      <c r="I3" s="101">
        <v>1.0</v>
      </c>
      <c r="J3" s="189">
        <f t="shared" ref="J3:J20" si="1">B3*$T$6+D3*$T$8+E3*$T$9+F3*$T$10+G3*$T$12+I3*$T$14+C3*$T$7</f>
        <v>3350</v>
      </c>
      <c r="K3" s="174" t="s">
        <v>139</v>
      </c>
      <c r="L3" s="190">
        <f t="shared" ref="L3:L28" si="2">J3</f>
        <v>3350</v>
      </c>
      <c r="M3" s="114">
        <v>585.45</v>
      </c>
      <c r="N3" s="101"/>
      <c r="O3" s="137">
        <f>((N4+M4)-((L4+0)*0.22))</f>
        <v>715</v>
      </c>
      <c r="P3" s="73"/>
      <c r="Q3" s="177" t="s">
        <v>94</v>
      </c>
      <c r="R3" s="191"/>
      <c r="S3" s="178"/>
      <c r="T3" s="192" t="s">
        <v>95</v>
      </c>
      <c r="U3" s="193" t="s">
        <v>264</v>
      </c>
      <c r="V3" s="194" t="s">
        <v>201</v>
      </c>
      <c r="W3" s="195" t="s">
        <v>265</v>
      </c>
      <c r="X3" s="195" t="s">
        <v>266</v>
      </c>
      <c r="Y3" s="196" t="s">
        <v>176</v>
      </c>
      <c r="Z3" s="73"/>
      <c r="AA3" s="73"/>
      <c r="AB3" s="73"/>
      <c r="AC3" s="73"/>
      <c r="AD3" s="73"/>
      <c r="AE3" s="73"/>
      <c r="AF3" s="73"/>
    </row>
    <row r="4" ht="15.75" customHeight="1">
      <c r="A4" s="197">
        <v>45716.0</v>
      </c>
      <c r="B4" s="94">
        <v>2.0</v>
      </c>
      <c r="C4" s="94"/>
      <c r="D4" s="94">
        <v>1.0</v>
      </c>
      <c r="E4" s="94"/>
      <c r="F4" s="101"/>
      <c r="G4" s="101">
        <v>1.0</v>
      </c>
      <c r="H4" s="101"/>
      <c r="I4" s="101">
        <v>1.0</v>
      </c>
      <c r="J4" s="189">
        <f t="shared" si="1"/>
        <v>3050</v>
      </c>
      <c r="K4" s="174" t="s">
        <v>139</v>
      </c>
      <c r="L4" s="190">
        <f t="shared" si="2"/>
        <v>3050</v>
      </c>
      <c r="M4" s="93">
        <f>76</f>
        <v>76</v>
      </c>
      <c r="N4" s="94">
        <f>207+24+1079</f>
        <v>1310</v>
      </c>
      <c r="O4" s="137">
        <f t="shared" ref="O4:O68" si="3">((N4+M4)-((L4+O3)*0.22))</f>
        <v>557.7</v>
      </c>
      <c r="P4" s="73"/>
      <c r="Q4" s="181"/>
      <c r="R4" s="198"/>
      <c r="S4" s="51"/>
      <c r="T4" s="182"/>
      <c r="U4" s="182"/>
      <c r="V4" s="16"/>
      <c r="W4" s="16"/>
      <c r="X4" s="16"/>
      <c r="Y4" s="199"/>
      <c r="Z4" s="73"/>
      <c r="AA4" s="73"/>
      <c r="AB4" s="73"/>
      <c r="AC4" s="73"/>
      <c r="AD4" s="73"/>
      <c r="AE4" s="73"/>
      <c r="AF4" s="73"/>
    </row>
    <row r="5" ht="15.75" customHeight="1">
      <c r="A5" s="197">
        <v>45723.0</v>
      </c>
      <c r="B5" s="94">
        <v>3.0</v>
      </c>
      <c r="C5" s="94">
        <v>2.0</v>
      </c>
      <c r="D5" s="94">
        <v>2.0</v>
      </c>
      <c r="E5" s="94">
        <v>4.0</v>
      </c>
      <c r="F5" s="101">
        <v>2.0</v>
      </c>
      <c r="G5" s="101">
        <v>2.0</v>
      </c>
      <c r="H5" s="101"/>
      <c r="I5" s="101">
        <v>1.0</v>
      </c>
      <c r="J5" s="189">
        <f t="shared" si="1"/>
        <v>6455</v>
      </c>
      <c r="K5" s="174" t="s">
        <v>139</v>
      </c>
      <c r="L5" s="190">
        <f t="shared" si="2"/>
        <v>6455</v>
      </c>
      <c r="M5" s="114"/>
      <c r="N5" s="101">
        <v>232.0</v>
      </c>
      <c r="O5" s="137">
        <f t="shared" si="3"/>
        <v>-1310.794</v>
      </c>
      <c r="P5" s="73"/>
      <c r="Q5" s="185" t="s">
        <v>267</v>
      </c>
      <c r="R5" s="2"/>
      <c r="S5" s="3"/>
      <c r="T5" s="186">
        <v>620.0</v>
      </c>
      <c r="U5" s="186">
        <f t="shared" ref="U5:U6" si="4">T5/8</f>
        <v>77.5</v>
      </c>
      <c r="V5" s="30">
        <f t="shared" ref="V5:V15" si="5">U5*1.3</f>
        <v>100.75</v>
      </c>
      <c r="W5" s="200">
        <f t="shared" ref="W5:W15" si="6">U5*0.95</f>
        <v>73.625</v>
      </c>
      <c r="X5" s="200">
        <f t="shared" ref="X5:X15" si="7">W5*1.3</f>
        <v>95.7125</v>
      </c>
      <c r="Y5" s="201">
        <v>100.0</v>
      </c>
      <c r="Z5" s="73"/>
      <c r="AA5" s="73"/>
      <c r="AB5" s="73"/>
      <c r="AC5" s="73"/>
      <c r="AD5" s="73"/>
      <c r="AE5" s="73"/>
      <c r="AF5" s="73"/>
    </row>
    <row r="6" ht="15.75" customHeight="1">
      <c r="A6" s="202">
        <v>45729.0</v>
      </c>
      <c r="B6" s="94">
        <v>2.0</v>
      </c>
      <c r="C6" s="94">
        <v>2.0</v>
      </c>
      <c r="D6" s="94">
        <v>1.0</v>
      </c>
      <c r="E6" s="94">
        <v>4.0</v>
      </c>
      <c r="F6" s="101"/>
      <c r="G6" s="101">
        <v>1.0</v>
      </c>
      <c r="H6" s="101"/>
      <c r="I6" s="101">
        <v>1.0</v>
      </c>
      <c r="J6" s="189">
        <f t="shared" si="1"/>
        <v>4270</v>
      </c>
      <c r="K6" s="174"/>
      <c r="L6" s="190">
        <f t="shared" si="2"/>
        <v>4270</v>
      </c>
      <c r="M6" s="114">
        <f>40</f>
        <v>40</v>
      </c>
      <c r="N6" s="101">
        <f>76.86+72.86+53.94+281+299+207+207+92.84+112</f>
        <v>1402.5</v>
      </c>
      <c r="O6" s="137">
        <f t="shared" si="3"/>
        <v>791.47468</v>
      </c>
      <c r="P6" s="73"/>
      <c r="Q6" s="203" t="s">
        <v>268</v>
      </c>
      <c r="R6" s="2"/>
      <c r="S6" s="3"/>
      <c r="T6" s="186">
        <v>725.0</v>
      </c>
      <c r="U6" s="186">
        <f t="shared" si="4"/>
        <v>90.625</v>
      </c>
      <c r="V6" s="30">
        <f t="shared" si="5"/>
        <v>117.8125</v>
      </c>
      <c r="W6" s="200">
        <f t="shared" si="6"/>
        <v>86.09375</v>
      </c>
      <c r="X6" s="200">
        <f t="shared" si="7"/>
        <v>111.921875</v>
      </c>
      <c r="Y6" s="204">
        <v>120.0</v>
      </c>
      <c r="Z6" s="73"/>
      <c r="AA6" s="73"/>
      <c r="AB6" s="73"/>
      <c r="AC6" s="73"/>
      <c r="AD6" s="73"/>
      <c r="AE6" s="73"/>
      <c r="AF6" s="73"/>
    </row>
    <row r="7" ht="15.75" customHeight="1">
      <c r="A7" s="197">
        <v>45736.0</v>
      </c>
      <c r="B7" s="94">
        <v>6.0</v>
      </c>
      <c r="C7" s="94">
        <v>5.0</v>
      </c>
      <c r="D7" s="94">
        <v>4.0</v>
      </c>
      <c r="E7" s="94">
        <v>10.0</v>
      </c>
      <c r="F7" s="101"/>
      <c r="G7" s="101">
        <v>3.0</v>
      </c>
      <c r="H7" s="101"/>
      <c r="I7" s="101">
        <v>2.0</v>
      </c>
      <c r="J7" s="189">
        <f t="shared" si="1"/>
        <v>12510</v>
      </c>
      <c r="K7" s="174">
        <f>11840-70</f>
        <v>11770</v>
      </c>
      <c r="L7" s="190">
        <f t="shared" si="2"/>
        <v>12510</v>
      </c>
      <c r="M7" s="114"/>
      <c r="N7" s="101">
        <f>207+207+207+552+345+147+165+207+207+207+207+207+207+207+414+207+207+207+207+110++386+207</f>
        <v>5224</v>
      </c>
      <c r="O7" s="137">
        <f t="shared" si="3"/>
        <v>2297.67557</v>
      </c>
      <c r="P7" s="73"/>
      <c r="Q7" s="203" t="s">
        <v>255</v>
      </c>
      <c r="R7" s="2"/>
      <c r="S7" s="3"/>
      <c r="T7" s="186">
        <v>300.0</v>
      </c>
      <c r="U7" s="186">
        <f>T7/6</f>
        <v>50</v>
      </c>
      <c r="V7" s="30">
        <f t="shared" si="5"/>
        <v>65</v>
      </c>
      <c r="W7" s="200">
        <f t="shared" si="6"/>
        <v>47.5</v>
      </c>
      <c r="X7" s="200">
        <f t="shared" si="7"/>
        <v>61.75</v>
      </c>
      <c r="Y7" s="204">
        <v>65.0</v>
      </c>
      <c r="Z7" s="73"/>
      <c r="AA7" s="73"/>
      <c r="AB7" s="73"/>
      <c r="AC7" s="73"/>
      <c r="AD7" s="73"/>
      <c r="AE7" s="73"/>
      <c r="AF7" s="73"/>
    </row>
    <row r="8" ht="15.75" customHeight="1">
      <c r="A8" s="202"/>
      <c r="B8" s="94"/>
      <c r="C8" s="94"/>
      <c r="D8" s="94"/>
      <c r="E8" s="94"/>
      <c r="F8" s="101"/>
      <c r="G8" s="101"/>
      <c r="H8" s="101"/>
      <c r="I8" s="101"/>
      <c r="J8" s="189">
        <f t="shared" si="1"/>
        <v>0</v>
      </c>
      <c r="K8" s="174"/>
      <c r="L8" s="190">
        <f t="shared" si="2"/>
        <v>0</v>
      </c>
      <c r="M8" s="114"/>
      <c r="N8" s="101">
        <v>199.0</v>
      </c>
      <c r="O8" s="137">
        <f t="shared" si="3"/>
        <v>-306.4886255</v>
      </c>
      <c r="P8" s="73"/>
      <c r="Q8" s="203" t="s">
        <v>269</v>
      </c>
      <c r="R8" s="2"/>
      <c r="S8" s="3"/>
      <c r="T8" s="186">
        <v>760.0</v>
      </c>
      <c r="U8" s="186">
        <f>T8/12</f>
        <v>63.33333333</v>
      </c>
      <c r="V8" s="30">
        <f t="shared" si="5"/>
        <v>82.33333333</v>
      </c>
      <c r="W8" s="200">
        <f t="shared" si="6"/>
        <v>60.16666667</v>
      </c>
      <c r="X8" s="200">
        <f t="shared" si="7"/>
        <v>78.21666667</v>
      </c>
      <c r="Y8" s="204">
        <v>85.0</v>
      </c>
      <c r="Z8" s="73"/>
      <c r="AA8" s="73"/>
      <c r="AB8" s="73"/>
      <c r="AC8" s="73"/>
      <c r="AD8" s="73"/>
      <c r="AE8" s="73"/>
      <c r="AF8" s="73"/>
    </row>
    <row r="9" ht="15.75" customHeight="1">
      <c r="A9" s="197">
        <v>45737.0</v>
      </c>
      <c r="B9" s="94">
        <v>5.0</v>
      </c>
      <c r="C9" s="94">
        <v>3.0</v>
      </c>
      <c r="D9" s="94">
        <v>3.0</v>
      </c>
      <c r="E9" s="94">
        <v>4.0</v>
      </c>
      <c r="F9" s="101"/>
      <c r="G9" s="101">
        <v>2.0</v>
      </c>
      <c r="H9" s="101"/>
      <c r="I9" s="101">
        <v>1.0</v>
      </c>
      <c r="J9" s="189">
        <f t="shared" si="1"/>
        <v>8655</v>
      </c>
      <c r="K9" s="205">
        <v>45740.0</v>
      </c>
      <c r="L9" s="190">
        <f t="shared" si="2"/>
        <v>8655</v>
      </c>
      <c r="M9" s="114">
        <v>12.0</v>
      </c>
      <c r="N9" s="101">
        <f>425+189++189+90+189+189+189+86+67</f>
        <v>1613</v>
      </c>
      <c r="O9" s="137">
        <f t="shared" si="3"/>
        <v>-211.6725024</v>
      </c>
      <c r="P9" s="73"/>
      <c r="Q9" s="203" t="s">
        <v>270</v>
      </c>
      <c r="R9" s="2"/>
      <c r="S9" s="3"/>
      <c r="T9" s="186">
        <v>155.0</v>
      </c>
      <c r="U9" s="186">
        <v>155.0</v>
      </c>
      <c r="V9" s="30">
        <f t="shared" si="5"/>
        <v>201.5</v>
      </c>
      <c r="W9" s="200">
        <f t="shared" si="6"/>
        <v>147.25</v>
      </c>
      <c r="X9" s="200">
        <f t="shared" si="7"/>
        <v>191.425</v>
      </c>
      <c r="Y9" s="204">
        <v>200.0</v>
      </c>
      <c r="Z9" s="73"/>
      <c r="AA9" s="73"/>
      <c r="AB9" s="73"/>
      <c r="AC9" s="73"/>
      <c r="AD9" s="73"/>
      <c r="AE9" s="73"/>
      <c r="AF9" s="73" t="s">
        <v>159</v>
      </c>
    </row>
    <row r="10" ht="15.75" customHeight="1">
      <c r="A10" s="202"/>
      <c r="B10" s="94">
        <f>5+2</f>
        <v>7</v>
      </c>
      <c r="C10" s="94">
        <f>3+3</f>
        <v>6</v>
      </c>
      <c r="D10" s="94">
        <f>3+2</f>
        <v>5</v>
      </c>
      <c r="E10" s="94">
        <v>4.0</v>
      </c>
      <c r="F10" s="101"/>
      <c r="G10" s="101">
        <f>2+3</f>
        <v>5</v>
      </c>
      <c r="H10" s="88"/>
      <c r="I10" s="88">
        <v>2.0</v>
      </c>
      <c r="J10" s="189">
        <f t="shared" si="1"/>
        <v>14145</v>
      </c>
      <c r="K10" s="174"/>
      <c r="L10" s="190">
        <f t="shared" si="2"/>
        <v>14145</v>
      </c>
      <c r="M10" s="114">
        <v>25.0</v>
      </c>
      <c r="N10" s="101">
        <f>75+189+162+378+189+49+189+189</f>
        <v>1420</v>
      </c>
      <c r="O10" s="137">
        <f t="shared" si="3"/>
        <v>-1620.332049</v>
      </c>
      <c r="P10" s="73"/>
      <c r="Q10" s="203" t="s">
        <v>271</v>
      </c>
      <c r="R10" s="2"/>
      <c r="S10" s="3"/>
      <c r="T10" s="186">
        <v>155.0</v>
      </c>
      <c r="U10" s="186">
        <v>155.0</v>
      </c>
      <c r="V10" s="30">
        <f t="shared" si="5"/>
        <v>201.5</v>
      </c>
      <c r="W10" s="200">
        <f t="shared" si="6"/>
        <v>147.25</v>
      </c>
      <c r="X10" s="200">
        <f t="shared" si="7"/>
        <v>191.425</v>
      </c>
      <c r="Y10" s="204">
        <v>200.0</v>
      </c>
      <c r="Z10" s="73"/>
      <c r="AA10" s="73"/>
      <c r="AB10" s="73"/>
      <c r="AC10" s="73"/>
      <c r="AD10" s="73"/>
      <c r="AE10" s="73"/>
      <c r="AF10" s="73"/>
    </row>
    <row r="11" ht="15.75" customHeight="1">
      <c r="A11" s="197"/>
      <c r="B11" s="94">
        <v>1.0</v>
      </c>
      <c r="C11" s="94">
        <v>2.0</v>
      </c>
      <c r="D11" s="94">
        <v>1.0</v>
      </c>
      <c r="E11" s="94"/>
      <c r="F11" s="101"/>
      <c r="G11" s="101">
        <v>1.0</v>
      </c>
      <c r="H11" s="88"/>
      <c r="I11" s="88">
        <v>1.0</v>
      </c>
      <c r="J11" s="189">
        <f t="shared" si="1"/>
        <v>2925</v>
      </c>
      <c r="K11" s="174">
        <v>3305.0</v>
      </c>
      <c r="L11" s="190">
        <f t="shared" si="2"/>
        <v>2925</v>
      </c>
      <c r="M11" s="114"/>
      <c r="N11" s="101"/>
      <c r="O11" s="137">
        <f t="shared" si="3"/>
        <v>-287.0269491</v>
      </c>
      <c r="P11" s="73"/>
      <c r="Q11" s="185" t="s">
        <v>272</v>
      </c>
      <c r="R11" s="2"/>
      <c r="S11" s="3"/>
      <c r="T11" s="186">
        <v>120.0</v>
      </c>
      <c r="U11" s="186">
        <v>120.0</v>
      </c>
      <c r="V11" s="30">
        <f t="shared" si="5"/>
        <v>156</v>
      </c>
      <c r="W11" s="200">
        <f t="shared" si="6"/>
        <v>114</v>
      </c>
      <c r="X11" s="200">
        <f t="shared" si="7"/>
        <v>148.2</v>
      </c>
      <c r="Y11" s="201">
        <v>160.0</v>
      </c>
      <c r="Z11" s="73"/>
      <c r="AA11" s="73"/>
      <c r="AB11" s="73"/>
      <c r="AC11" s="73"/>
      <c r="AD11" s="73"/>
      <c r="AE11" s="73"/>
      <c r="AF11" s="73"/>
    </row>
    <row r="12" ht="15.75" customHeight="1">
      <c r="A12" s="202"/>
      <c r="B12" s="94">
        <v>5.0</v>
      </c>
      <c r="C12" s="94">
        <v>3.0</v>
      </c>
      <c r="D12" s="94">
        <v>3.0</v>
      </c>
      <c r="E12" s="94">
        <v>4.0</v>
      </c>
      <c r="F12" s="101"/>
      <c r="G12" s="101">
        <v>2.0</v>
      </c>
      <c r="H12" s="88"/>
      <c r="I12" s="88">
        <v>1.0</v>
      </c>
      <c r="J12" s="189">
        <f t="shared" si="1"/>
        <v>8655</v>
      </c>
      <c r="K12" s="174" t="s">
        <v>139</v>
      </c>
      <c r="L12" s="190">
        <f t="shared" si="2"/>
        <v>8655</v>
      </c>
      <c r="M12" s="114"/>
      <c r="N12" s="101"/>
      <c r="O12" s="137">
        <f t="shared" si="3"/>
        <v>-1840.954071</v>
      </c>
      <c r="P12" s="73"/>
      <c r="Q12" s="203" t="s">
        <v>259</v>
      </c>
      <c r="R12" s="2"/>
      <c r="S12" s="3"/>
      <c r="T12" s="186">
        <v>390.0</v>
      </c>
      <c r="U12" s="186">
        <f t="shared" ref="U12:U14" si="8">T12/8</f>
        <v>48.75</v>
      </c>
      <c r="V12" s="30">
        <f t="shared" si="5"/>
        <v>63.375</v>
      </c>
      <c r="W12" s="200">
        <f t="shared" si="6"/>
        <v>46.3125</v>
      </c>
      <c r="X12" s="200">
        <f t="shared" si="7"/>
        <v>60.20625</v>
      </c>
      <c r="Y12" s="204">
        <v>65.0</v>
      </c>
      <c r="Z12" s="73"/>
      <c r="AA12" s="73"/>
      <c r="AB12" s="73"/>
      <c r="AC12" s="73"/>
      <c r="AD12" s="73"/>
      <c r="AE12" s="73"/>
      <c r="AF12" s="73"/>
    </row>
    <row r="13" ht="15.75" customHeight="1">
      <c r="A13" s="197"/>
      <c r="B13" s="94">
        <v>1.0</v>
      </c>
      <c r="C13" s="94">
        <v>3.0</v>
      </c>
      <c r="D13" s="94">
        <v>3.0</v>
      </c>
      <c r="E13" s="94"/>
      <c r="F13" s="101">
        <v>4.0</v>
      </c>
      <c r="G13" s="101">
        <v>3.0</v>
      </c>
      <c r="H13" s="101"/>
      <c r="I13" s="101">
        <v>1.0</v>
      </c>
      <c r="J13" s="189">
        <f t="shared" si="1"/>
        <v>6145</v>
      </c>
      <c r="K13" s="174" t="s">
        <v>139</v>
      </c>
      <c r="L13" s="206">
        <f t="shared" si="2"/>
        <v>6145</v>
      </c>
      <c r="M13" s="92"/>
      <c r="N13" s="88"/>
      <c r="O13" s="137">
        <f t="shared" si="3"/>
        <v>-946.8901043</v>
      </c>
      <c r="P13" s="73"/>
      <c r="Q13" s="185" t="s">
        <v>273</v>
      </c>
      <c r="R13" s="2"/>
      <c r="S13" s="3"/>
      <c r="T13" s="186">
        <v>680.0</v>
      </c>
      <c r="U13" s="186">
        <f t="shared" si="8"/>
        <v>85</v>
      </c>
      <c r="V13" s="30">
        <f t="shared" si="5"/>
        <v>110.5</v>
      </c>
      <c r="W13" s="200">
        <f t="shared" si="6"/>
        <v>80.75</v>
      </c>
      <c r="X13" s="200">
        <f t="shared" si="7"/>
        <v>104.975</v>
      </c>
      <c r="Y13" s="201">
        <v>105.0</v>
      </c>
      <c r="Z13" s="73"/>
      <c r="AA13" s="73"/>
      <c r="AB13" s="73"/>
      <c r="AC13" s="73"/>
      <c r="AD13" s="73"/>
      <c r="AE13" s="73"/>
      <c r="AF13" s="73"/>
    </row>
    <row r="14" ht="15.75" customHeight="1">
      <c r="A14" s="202"/>
      <c r="B14" s="94">
        <v>5.0</v>
      </c>
      <c r="C14" s="94">
        <v>3.0</v>
      </c>
      <c r="D14" s="94">
        <v>6.0</v>
      </c>
      <c r="E14" s="94">
        <v>4.0</v>
      </c>
      <c r="F14" s="101">
        <v>2.0</v>
      </c>
      <c r="G14" s="101">
        <v>3.0</v>
      </c>
      <c r="H14" s="101"/>
      <c r="I14" s="101">
        <v>1.0</v>
      </c>
      <c r="J14" s="189">
        <f t="shared" si="1"/>
        <v>11635</v>
      </c>
      <c r="K14" s="207">
        <v>45770.0</v>
      </c>
      <c r="L14" s="190">
        <f t="shared" si="2"/>
        <v>11635</v>
      </c>
      <c r="M14" s="114"/>
      <c r="N14" s="101"/>
      <c r="O14" s="137">
        <f t="shared" si="3"/>
        <v>-2351.384177</v>
      </c>
      <c r="P14" s="73"/>
      <c r="Q14" s="203" t="s">
        <v>274</v>
      </c>
      <c r="R14" s="2"/>
      <c r="S14" s="3"/>
      <c r="T14" s="186">
        <v>450.0</v>
      </c>
      <c r="U14" s="186">
        <f t="shared" si="8"/>
        <v>56.25</v>
      </c>
      <c r="V14" s="30">
        <f t="shared" si="5"/>
        <v>73.125</v>
      </c>
      <c r="W14" s="200">
        <f t="shared" si="6"/>
        <v>53.4375</v>
      </c>
      <c r="X14" s="200">
        <f t="shared" si="7"/>
        <v>69.46875</v>
      </c>
      <c r="Y14" s="204">
        <v>75.0</v>
      </c>
      <c r="Z14" s="73"/>
      <c r="AA14" s="73"/>
      <c r="AB14" s="73"/>
      <c r="AC14" s="73"/>
      <c r="AD14" s="73"/>
      <c r="AE14" s="73"/>
      <c r="AF14" s="73"/>
    </row>
    <row r="15" ht="15.75" customHeight="1">
      <c r="A15" s="197"/>
      <c r="B15" s="94">
        <v>1.0</v>
      </c>
      <c r="C15" s="94">
        <v>3.0</v>
      </c>
      <c r="D15" s="94">
        <v>2.0</v>
      </c>
      <c r="E15" s="94"/>
      <c r="F15" s="101"/>
      <c r="G15" s="101">
        <v>2.0</v>
      </c>
      <c r="H15" s="101"/>
      <c r="I15" s="101">
        <v>1.0</v>
      </c>
      <c r="J15" s="189">
        <f t="shared" si="1"/>
        <v>4375</v>
      </c>
      <c r="K15" s="207">
        <v>45770.0</v>
      </c>
      <c r="L15" s="190">
        <f t="shared" si="2"/>
        <v>4375</v>
      </c>
      <c r="M15" s="114"/>
      <c r="N15" s="101"/>
      <c r="O15" s="137">
        <f t="shared" si="3"/>
        <v>-445.195481</v>
      </c>
      <c r="P15" s="73"/>
      <c r="Q15" s="208" t="s">
        <v>275</v>
      </c>
      <c r="R15" s="209"/>
      <c r="S15" s="210"/>
      <c r="T15" s="211">
        <v>85.0</v>
      </c>
      <c r="U15" s="211">
        <f>T15</f>
        <v>85</v>
      </c>
      <c r="V15" s="212">
        <f t="shared" si="5"/>
        <v>110.5</v>
      </c>
      <c r="W15" s="213">
        <f t="shared" si="6"/>
        <v>80.75</v>
      </c>
      <c r="X15" s="213">
        <f t="shared" si="7"/>
        <v>104.975</v>
      </c>
      <c r="Y15" s="214">
        <v>110.0</v>
      </c>
      <c r="Z15" s="73"/>
      <c r="AA15" s="73"/>
      <c r="AB15" s="73"/>
      <c r="AC15" s="73"/>
      <c r="AD15" s="73"/>
      <c r="AE15" s="73"/>
      <c r="AF15" s="73"/>
    </row>
    <row r="16" ht="15.75" customHeight="1">
      <c r="A16" s="202">
        <v>45784.0</v>
      </c>
      <c r="B16" s="94">
        <v>3.0</v>
      </c>
      <c r="C16" s="94">
        <v>2.0</v>
      </c>
      <c r="D16" s="94">
        <v>2.0</v>
      </c>
      <c r="E16" s="94"/>
      <c r="F16" s="101"/>
      <c r="G16" s="101">
        <v>2.0</v>
      </c>
      <c r="H16" s="101"/>
      <c r="I16" s="101"/>
      <c r="J16" s="189">
        <f t="shared" si="1"/>
        <v>5075</v>
      </c>
      <c r="K16" s="174"/>
      <c r="L16" s="190">
        <f t="shared" si="2"/>
        <v>5075</v>
      </c>
      <c r="M16" s="114"/>
      <c r="N16" s="101"/>
      <c r="O16" s="137">
        <f t="shared" si="3"/>
        <v>-1018.556994</v>
      </c>
      <c r="P16" s="73"/>
      <c r="Q16" s="185"/>
      <c r="R16" s="2"/>
      <c r="S16" s="3"/>
      <c r="T16" s="30"/>
      <c r="U16" s="30"/>
      <c r="V16" s="30"/>
      <c r="W16" s="30"/>
      <c r="X16" s="30"/>
      <c r="Y16" s="201"/>
      <c r="Z16" s="73"/>
      <c r="AA16" s="73"/>
      <c r="AB16" s="73"/>
      <c r="AC16" s="73"/>
      <c r="AD16" s="73"/>
      <c r="AE16" s="73"/>
      <c r="AF16" s="73"/>
    </row>
    <row r="17" ht="15.75" customHeight="1">
      <c r="A17" s="197">
        <v>45790.0</v>
      </c>
      <c r="B17" s="94">
        <v>5.0</v>
      </c>
      <c r="C17" s="94">
        <v>6.0</v>
      </c>
      <c r="D17" s="94">
        <v>4.0</v>
      </c>
      <c r="E17" s="94">
        <v>4.0</v>
      </c>
      <c r="F17" s="101">
        <v>2.0</v>
      </c>
      <c r="G17" s="101">
        <v>6.0</v>
      </c>
      <c r="H17" s="8"/>
      <c r="I17" s="8">
        <v>2.0</v>
      </c>
      <c r="J17" s="189">
        <f t="shared" si="1"/>
        <v>12635</v>
      </c>
      <c r="K17" s="174"/>
      <c r="L17" s="190">
        <f t="shared" si="2"/>
        <v>12635</v>
      </c>
      <c r="M17" s="114"/>
      <c r="N17" s="101"/>
      <c r="O17" s="137">
        <f t="shared" si="3"/>
        <v>-2555.617461</v>
      </c>
      <c r="P17" s="73"/>
      <c r="Q17" s="215" t="s">
        <v>260</v>
      </c>
      <c r="R17" s="216"/>
      <c r="S17" s="58"/>
      <c r="T17" s="217">
        <v>90.0</v>
      </c>
      <c r="U17" s="217">
        <v>90.0</v>
      </c>
      <c r="V17" s="217">
        <f>U17*1.3</f>
        <v>117</v>
      </c>
      <c r="W17" s="217"/>
      <c r="X17" s="217"/>
      <c r="Y17" s="218">
        <v>120.0</v>
      </c>
      <c r="Z17" s="73"/>
      <c r="AA17" s="73"/>
      <c r="AB17" s="73"/>
      <c r="AC17" s="73"/>
      <c r="AD17" s="73"/>
      <c r="AE17" s="73"/>
      <c r="AF17" s="73"/>
    </row>
    <row r="18" ht="15.75" customHeight="1">
      <c r="A18" s="202">
        <v>45791.0</v>
      </c>
      <c r="B18" s="94">
        <v>1.0</v>
      </c>
      <c r="C18" s="94"/>
      <c r="D18" s="94">
        <v>2.0</v>
      </c>
      <c r="E18" s="94"/>
      <c r="F18" s="101"/>
      <c r="G18" s="101">
        <v>1.0</v>
      </c>
      <c r="H18" s="101"/>
      <c r="I18" s="101"/>
      <c r="J18" s="189">
        <f t="shared" si="1"/>
        <v>2635</v>
      </c>
      <c r="K18" s="174"/>
      <c r="L18" s="190">
        <f t="shared" si="2"/>
        <v>2635</v>
      </c>
      <c r="M18" s="114"/>
      <c r="N18" s="101"/>
      <c r="O18" s="137">
        <f t="shared" si="3"/>
        <v>-17.46415852</v>
      </c>
      <c r="P18" s="73"/>
      <c r="Q18" s="219" t="s">
        <v>145</v>
      </c>
      <c r="R18" s="220"/>
      <c r="S18" s="220"/>
      <c r="T18" s="220"/>
      <c r="U18" s="220"/>
      <c r="V18" s="220"/>
      <c r="W18" s="220"/>
      <c r="X18" s="220"/>
      <c r="Y18" s="73"/>
      <c r="Z18" s="73"/>
      <c r="AA18" s="73"/>
      <c r="AB18" s="73"/>
      <c r="AC18" s="73"/>
      <c r="AD18" s="73"/>
      <c r="AE18" s="73"/>
      <c r="AF18" s="73"/>
    </row>
    <row r="19" ht="15.75" customHeight="1">
      <c r="A19" s="197">
        <v>45792.0</v>
      </c>
      <c r="B19" s="94">
        <v>2.0</v>
      </c>
      <c r="C19" s="94">
        <v>2.0</v>
      </c>
      <c r="D19" s="94">
        <v>2.0</v>
      </c>
      <c r="E19" s="94"/>
      <c r="F19" s="101"/>
      <c r="G19" s="101">
        <v>2.0</v>
      </c>
      <c r="H19" s="101"/>
      <c r="I19" s="101">
        <v>1.0</v>
      </c>
      <c r="J19" s="189">
        <f t="shared" si="1"/>
        <v>4800</v>
      </c>
      <c r="K19" s="174"/>
      <c r="L19" s="190">
        <f t="shared" si="2"/>
        <v>4800</v>
      </c>
      <c r="M19" s="114"/>
      <c r="N19" s="101"/>
      <c r="O19" s="137">
        <f t="shared" si="3"/>
        <v>-1052.157885</v>
      </c>
      <c r="P19" s="73"/>
      <c r="Q19" s="111">
        <f>10/22</f>
        <v>0.4545454545</v>
      </c>
      <c r="R19" s="220"/>
      <c r="S19" s="220"/>
      <c r="T19" s="220"/>
      <c r="U19" s="220"/>
      <c r="V19" s="220"/>
      <c r="W19" s="220"/>
      <c r="X19" s="220"/>
      <c r="Y19" s="73"/>
      <c r="Z19" s="73"/>
      <c r="AA19" s="73"/>
      <c r="AB19" s="73"/>
      <c r="AC19" s="73"/>
      <c r="AD19" s="73"/>
      <c r="AE19" s="73"/>
      <c r="AF19" s="73"/>
    </row>
    <row r="20" ht="15.75" customHeight="1">
      <c r="A20" s="202">
        <v>45772.0</v>
      </c>
      <c r="B20" s="94">
        <v>1.0</v>
      </c>
      <c r="C20" s="94">
        <v>1.0</v>
      </c>
      <c r="D20" s="94">
        <v>1.0</v>
      </c>
      <c r="E20" s="94"/>
      <c r="F20" s="101"/>
      <c r="G20" s="101">
        <v>1.0</v>
      </c>
      <c r="H20" s="101"/>
      <c r="I20" s="101"/>
      <c r="J20" s="189">
        <f t="shared" si="1"/>
        <v>2175</v>
      </c>
      <c r="K20" s="174"/>
      <c r="L20" s="190">
        <f t="shared" si="2"/>
        <v>2175</v>
      </c>
      <c r="M20" s="114"/>
      <c r="N20" s="101"/>
      <c r="O20" s="137">
        <f t="shared" si="3"/>
        <v>-247.0252653</v>
      </c>
      <c r="P20" s="73"/>
      <c r="Q20" s="221"/>
      <c r="R20" s="220"/>
      <c r="S20" s="220"/>
      <c r="T20" s="220"/>
      <c r="U20" s="220"/>
      <c r="V20" s="220"/>
      <c r="W20" s="220"/>
      <c r="X20" s="220"/>
      <c r="Y20" s="73"/>
      <c r="Z20" s="73"/>
      <c r="AA20" s="73"/>
      <c r="AB20" s="73"/>
      <c r="AC20" s="73"/>
      <c r="AD20" s="73"/>
      <c r="AE20" s="73"/>
      <c r="AF20" s="73"/>
    </row>
    <row r="21" ht="15.75" customHeight="1">
      <c r="A21" s="197">
        <v>45803.0</v>
      </c>
      <c r="B21" s="94">
        <f>1+1+1+1</f>
        <v>4</v>
      </c>
      <c r="C21" s="94">
        <f>(6+12)/6</f>
        <v>3</v>
      </c>
      <c r="D21" s="94">
        <f>(24+24+12)/12</f>
        <v>5</v>
      </c>
      <c r="E21" s="94">
        <f>4</f>
        <v>4</v>
      </c>
      <c r="F21" s="101">
        <f>2</f>
        <v>2</v>
      </c>
      <c r="G21" s="101">
        <f>3</f>
        <v>3</v>
      </c>
      <c r="H21" s="101">
        <v>5.0</v>
      </c>
      <c r="I21" s="101">
        <f>1</f>
        <v>1</v>
      </c>
      <c r="J21" s="189">
        <f>B21*$T$6+D21*$T$8+E21*$T$9+F21*$T$10+G21*$T$12+I21*$T$14+C21*$T$7+H21*U17</f>
        <v>10600</v>
      </c>
      <c r="K21" s="222" t="s">
        <v>139</v>
      </c>
      <c r="L21" s="190">
        <f t="shared" si="2"/>
        <v>10600</v>
      </c>
      <c r="M21" s="114"/>
      <c r="N21" s="101"/>
      <c r="O21" s="137">
        <f t="shared" si="3"/>
        <v>-2277.654442</v>
      </c>
      <c r="P21" s="73"/>
      <c r="Q21" s="221"/>
      <c r="R21" s="220"/>
      <c r="S21" s="220"/>
      <c r="T21" s="220"/>
      <c r="U21" s="220"/>
      <c r="V21" s="220"/>
      <c r="W21" s="220"/>
      <c r="X21" s="220"/>
      <c r="Y21" s="73"/>
      <c r="Z21" s="73"/>
      <c r="AA21" s="73"/>
      <c r="AB21" s="73"/>
      <c r="AC21" s="73"/>
      <c r="AD21" s="73"/>
      <c r="AE21" s="73"/>
      <c r="AF21" s="73"/>
    </row>
    <row r="22" ht="15.75" customHeight="1">
      <c r="A22" s="202"/>
      <c r="B22" s="94">
        <v>5.0</v>
      </c>
      <c r="C22" s="94">
        <v>5.0</v>
      </c>
      <c r="D22" s="94">
        <v>6.0</v>
      </c>
      <c r="E22" s="94">
        <v>4.0</v>
      </c>
      <c r="F22" s="101">
        <v>2.0</v>
      </c>
      <c r="G22" s="101">
        <v>5.0</v>
      </c>
      <c r="H22" s="101"/>
      <c r="I22" s="101">
        <v>2.0</v>
      </c>
      <c r="J22" s="189">
        <f t="shared" ref="J22:J23" si="9">B22*$T$6+D22*$T$8+E22*$T$9+F22*$T$10+G22*$T$12+I22*$T$14+C22*$T$7</f>
        <v>13465</v>
      </c>
      <c r="K22" s="174" t="s">
        <v>139</v>
      </c>
      <c r="L22" s="190">
        <f t="shared" si="2"/>
        <v>13465</v>
      </c>
      <c r="M22" s="114"/>
      <c r="N22" s="101"/>
      <c r="O22" s="137">
        <f t="shared" si="3"/>
        <v>-2461.216023</v>
      </c>
      <c r="P22" s="73"/>
      <c r="Q22" s="221"/>
      <c r="R22" s="220"/>
      <c r="S22" s="220"/>
      <c r="T22" s="220"/>
      <c r="U22" s="220"/>
      <c r="V22" s="220"/>
      <c r="W22" s="220"/>
      <c r="X22" s="220"/>
      <c r="Y22" s="73"/>
      <c r="Z22" s="73"/>
      <c r="AA22" s="73"/>
      <c r="AB22" s="73"/>
      <c r="AC22" s="73"/>
      <c r="AD22" s="73"/>
      <c r="AE22" s="73"/>
      <c r="AF22" s="73"/>
    </row>
    <row r="23" ht="15.75" customHeight="1">
      <c r="A23" s="197"/>
      <c r="B23" s="94">
        <v>3.0</v>
      </c>
      <c r="C23" s="94">
        <v>2.0</v>
      </c>
      <c r="D23" s="94">
        <v>2.0</v>
      </c>
      <c r="E23" s="94"/>
      <c r="F23" s="101"/>
      <c r="G23" s="101">
        <v>3.0</v>
      </c>
      <c r="H23" s="101"/>
      <c r="I23" s="101">
        <v>2.0</v>
      </c>
      <c r="J23" s="189">
        <f t="shared" si="9"/>
        <v>6365</v>
      </c>
      <c r="K23" s="174" t="s">
        <v>139</v>
      </c>
      <c r="L23" s="190">
        <f t="shared" si="2"/>
        <v>6365</v>
      </c>
      <c r="M23" s="114"/>
      <c r="N23" s="101"/>
      <c r="O23" s="137">
        <f t="shared" si="3"/>
        <v>-858.832475</v>
      </c>
      <c r="P23" s="172"/>
      <c r="Q23" s="221"/>
      <c r="R23" s="220"/>
      <c r="S23" s="220"/>
      <c r="T23" s="220"/>
      <c r="U23" s="220"/>
      <c r="V23" s="220"/>
      <c r="W23" s="220"/>
      <c r="X23" s="220"/>
      <c r="Y23" s="73"/>
      <c r="Z23" s="73"/>
      <c r="AA23" s="73"/>
      <c r="AB23" s="73"/>
      <c r="AC23" s="73"/>
      <c r="AD23" s="73"/>
      <c r="AE23" s="73"/>
      <c r="AF23" s="73"/>
    </row>
    <row r="24" ht="15.75" customHeight="1">
      <c r="A24" s="202"/>
      <c r="B24" s="94">
        <v>5.0</v>
      </c>
      <c r="C24" s="94">
        <v>5.0</v>
      </c>
      <c r="D24" s="94">
        <v>6.0</v>
      </c>
      <c r="E24" s="94">
        <v>4.0</v>
      </c>
      <c r="F24" s="101">
        <v>2.0</v>
      </c>
      <c r="G24" s="101">
        <v>6.0</v>
      </c>
      <c r="H24" s="101">
        <v>5.0</v>
      </c>
      <c r="I24" s="101">
        <v>2.0</v>
      </c>
      <c r="J24" s="189">
        <f>B24*$T$6+D24*$T$8+E24*$T$9+F24*$T$10+G24*$T$12+I24*$T$14+C24*$T$7+(H24*U17)</f>
        <v>14305</v>
      </c>
      <c r="K24" s="174" t="s">
        <v>276</v>
      </c>
      <c r="L24" s="190">
        <f t="shared" si="2"/>
        <v>14305</v>
      </c>
      <c r="N24" s="114"/>
      <c r="O24" s="137">
        <f t="shared" si="3"/>
        <v>-2958.156856</v>
      </c>
      <c r="P24" s="73"/>
      <c r="Q24" s="73">
        <v>27320.0</v>
      </c>
      <c r="R24" s="220"/>
      <c r="S24" s="220"/>
      <c r="T24" s="220">
        <f>T6*4</f>
        <v>2900</v>
      </c>
      <c r="U24" s="220"/>
      <c r="V24" s="220"/>
      <c r="W24" s="220"/>
      <c r="X24" s="220"/>
      <c r="Y24" s="73"/>
      <c r="Z24" s="73"/>
      <c r="AA24" s="73"/>
      <c r="AB24" s="73"/>
      <c r="AC24" s="73"/>
      <c r="AD24" s="73"/>
      <c r="AE24" s="73"/>
      <c r="AF24" s="73"/>
    </row>
    <row r="25" ht="15.75" customHeight="1">
      <c r="A25" s="173"/>
      <c r="B25" s="94">
        <v>5.0</v>
      </c>
      <c r="C25" s="94">
        <v>5.0</v>
      </c>
      <c r="D25" s="94">
        <v>6.0</v>
      </c>
      <c r="E25" s="94">
        <v>6.0</v>
      </c>
      <c r="F25" s="101">
        <v>0.0</v>
      </c>
      <c r="G25" s="101">
        <v>6.0</v>
      </c>
      <c r="H25" s="101">
        <v>5.0</v>
      </c>
      <c r="I25" s="101">
        <v>2.0</v>
      </c>
      <c r="J25" s="189">
        <f>B25*$T$6+D25*$T$8+E25*$T$9+F25*$T$10+G25*$T$12+I25*$T$14+C25*$T$7+H25*U17</f>
        <v>14305</v>
      </c>
      <c r="K25" s="174" t="s">
        <v>277</v>
      </c>
      <c r="L25" s="190">
        <f t="shared" si="2"/>
        <v>14305</v>
      </c>
      <c r="M25" s="114"/>
      <c r="N25" s="101"/>
      <c r="O25" s="137">
        <f t="shared" si="3"/>
        <v>-2496.305492</v>
      </c>
      <c r="P25" s="73"/>
      <c r="Q25" s="73">
        <f>Q24-3320</f>
        <v>24000</v>
      </c>
      <c r="R25" s="220"/>
      <c r="S25" s="220"/>
      <c r="T25" s="220">
        <f>T7</f>
        <v>300</v>
      </c>
      <c r="U25" s="220"/>
      <c r="V25" s="220"/>
      <c r="W25" s="220"/>
      <c r="X25" s="220"/>
      <c r="Y25" s="73"/>
      <c r="Z25" s="73"/>
      <c r="AA25" s="73"/>
      <c r="AB25" s="73"/>
      <c r="AC25" s="73"/>
      <c r="AD25" s="73"/>
      <c r="AE25" s="73"/>
      <c r="AF25" s="73"/>
    </row>
    <row r="26" ht="15.75" customHeight="1">
      <c r="A26" s="173"/>
      <c r="B26" s="94">
        <v>3.0</v>
      </c>
      <c r="C26" s="94">
        <v>2.0</v>
      </c>
      <c r="D26" s="94">
        <v>2.0</v>
      </c>
      <c r="E26" s="94"/>
      <c r="F26" s="101"/>
      <c r="G26" s="101">
        <v>3.0</v>
      </c>
      <c r="H26" s="101"/>
      <c r="I26" s="101">
        <v>2.0</v>
      </c>
      <c r="J26" s="189">
        <f>B26*$T$6+D26*$T$8+E26*$T$9+F26*$T$10+G26*$T$12+I26*$T$14+C26*$T$7+H26*U17</f>
        <v>6365</v>
      </c>
      <c r="K26" s="223"/>
      <c r="L26" s="190">
        <f t="shared" si="2"/>
        <v>6365</v>
      </c>
      <c r="M26" s="114"/>
      <c r="N26" s="101"/>
      <c r="O26" s="137">
        <f t="shared" si="3"/>
        <v>-851.1127918</v>
      </c>
      <c r="P26" s="73"/>
      <c r="Q26" s="73"/>
      <c r="R26" s="220"/>
      <c r="S26" s="220"/>
      <c r="T26" s="220">
        <f>T8*2</f>
        <v>1520</v>
      </c>
      <c r="U26" s="220"/>
      <c r="V26" s="220"/>
      <c r="W26" s="220"/>
      <c r="X26" s="220"/>
      <c r="Y26" s="73"/>
      <c r="Z26" s="73"/>
      <c r="AA26" s="73"/>
      <c r="AB26" s="73"/>
      <c r="AC26" s="73"/>
      <c r="AD26" s="73"/>
      <c r="AE26" s="73"/>
      <c r="AF26" s="73"/>
    </row>
    <row r="27" ht="15.75" customHeight="1">
      <c r="A27" s="224"/>
      <c r="B27" s="94">
        <v>4.0</v>
      </c>
      <c r="C27" s="94">
        <v>4.0</v>
      </c>
      <c r="D27" s="94">
        <v>5.0</v>
      </c>
      <c r="E27" s="94">
        <v>4.0</v>
      </c>
      <c r="F27" s="101"/>
      <c r="G27" s="101">
        <v>5.0</v>
      </c>
      <c r="H27" s="101">
        <v>5.0</v>
      </c>
      <c r="I27" s="101">
        <v>2.0</v>
      </c>
      <c r="J27" s="189">
        <f>B27*$T$6+D27*$T$8+E27*$T$9+F27*$T$10+G27*$T$12+I27*$T$14+C27*$T$7+H27*U17</f>
        <v>11820</v>
      </c>
      <c r="K27" s="223"/>
      <c r="L27" s="190">
        <f t="shared" si="2"/>
        <v>11820</v>
      </c>
      <c r="M27" s="114"/>
      <c r="N27" s="101"/>
      <c r="O27" s="137">
        <f t="shared" si="3"/>
        <v>-2413.155186</v>
      </c>
      <c r="P27" s="73"/>
      <c r="Q27" s="73"/>
      <c r="R27" s="220"/>
      <c r="S27" s="220"/>
      <c r="T27" s="220">
        <f>T12*2</f>
        <v>780</v>
      </c>
      <c r="U27" s="220"/>
      <c r="V27" s="220"/>
      <c r="W27" s="220"/>
      <c r="X27" s="220"/>
      <c r="Y27" s="73"/>
      <c r="Z27" s="73"/>
      <c r="AA27" s="73"/>
      <c r="AB27" s="73"/>
      <c r="AC27" s="73"/>
      <c r="AD27" s="73"/>
      <c r="AE27" s="73"/>
      <c r="AF27" s="73"/>
    </row>
    <row r="28" ht="15.75" customHeight="1">
      <c r="A28" s="225"/>
      <c r="B28" s="94">
        <v>3.0</v>
      </c>
      <c r="C28" s="94">
        <f>1+1/2</f>
        <v>1.5</v>
      </c>
      <c r="D28" s="94">
        <v>2.0</v>
      </c>
      <c r="E28" s="94">
        <v>2.0</v>
      </c>
      <c r="F28" s="94"/>
      <c r="G28" s="94">
        <v>1.0</v>
      </c>
      <c r="H28" s="94">
        <v>4.0</v>
      </c>
      <c r="I28" s="94">
        <v>1.0</v>
      </c>
      <c r="J28" s="189">
        <f>B28*$T$6+D28*$T$8+E28*$T$9+F28*$T$10+G28*$T$12+I28*$T$14+C28*$T$7+H28*U17</f>
        <v>5655</v>
      </c>
      <c r="K28" s="223"/>
      <c r="L28" s="190">
        <f t="shared" si="2"/>
        <v>5655</v>
      </c>
      <c r="M28" s="114"/>
      <c r="N28" s="101"/>
      <c r="O28" s="137">
        <f t="shared" si="3"/>
        <v>-713.2058591</v>
      </c>
      <c r="P28" s="73"/>
      <c r="Q28" s="73"/>
      <c r="R28" s="220"/>
      <c r="S28" s="220"/>
      <c r="T28" s="220">
        <f>T14*2</f>
        <v>900</v>
      </c>
      <c r="U28" s="220"/>
      <c r="V28" s="220"/>
      <c r="W28" s="220"/>
      <c r="X28" s="220"/>
      <c r="Y28" s="73"/>
      <c r="Z28" s="73"/>
      <c r="AA28" s="73"/>
      <c r="AB28" s="73"/>
      <c r="AC28" s="73"/>
      <c r="AD28" s="73"/>
      <c r="AE28" s="73"/>
      <c r="AF28" s="73"/>
    </row>
    <row r="29" ht="15.75" customHeight="1">
      <c r="A29" s="226"/>
      <c r="B29" s="94">
        <v>3.0</v>
      </c>
      <c r="C29" s="94">
        <v>5.0</v>
      </c>
      <c r="D29" s="94">
        <v>6.0</v>
      </c>
      <c r="E29" s="94">
        <v>5.0</v>
      </c>
      <c r="F29" s="101"/>
      <c r="G29" s="101">
        <v>5.0</v>
      </c>
      <c r="H29" s="101">
        <v>5.0</v>
      </c>
      <c r="I29" s="101">
        <v>2.0</v>
      </c>
      <c r="J29" s="189">
        <f>(B29*$T$6+D29*$T$8+E29*$T$9+F29*$T$10+G29*$T$12+I29*$T$14+C29*$T$7+H29*U17)-350+10</f>
        <v>11970</v>
      </c>
      <c r="K29" s="223"/>
      <c r="L29" s="190"/>
      <c r="M29" s="114"/>
      <c r="N29" s="101"/>
      <c r="O29" s="137">
        <f t="shared" si="3"/>
        <v>156.905289</v>
      </c>
      <c r="P29" s="73"/>
      <c r="Q29" s="73"/>
      <c r="R29" s="220"/>
      <c r="S29" s="220"/>
      <c r="T29" s="220"/>
      <c r="U29" s="220"/>
      <c r="V29" s="220"/>
      <c r="W29" s="220"/>
      <c r="X29" s="220"/>
      <c r="Y29" s="73"/>
      <c r="Z29" s="73"/>
      <c r="AA29" s="73"/>
      <c r="AB29" s="73"/>
      <c r="AC29" s="73"/>
      <c r="AD29" s="73"/>
      <c r="AE29" s="73"/>
      <c r="AF29" s="73"/>
    </row>
    <row r="30" ht="15.75" customHeight="1">
      <c r="A30" s="173"/>
      <c r="B30" s="94">
        <v>3.0</v>
      </c>
      <c r="C30" s="94">
        <v>3.0</v>
      </c>
      <c r="D30" s="94">
        <v>6.0</v>
      </c>
      <c r="E30" s="94">
        <v>2.0</v>
      </c>
      <c r="F30" s="101">
        <v>1.0</v>
      </c>
      <c r="G30" s="101">
        <v>5.0</v>
      </c>
      <c r="H30" s="101">
        <v>5.0</v>
      </c>
      <c r="I30" s="101">
        <v>2.0</v>
      </c>
      <c r="J30" s="189">
        <f>B30*$T$6+D30*$T$8+E30*$T$9+F30*$T$10+G30*$T$12+I30*$T$14+C30*$T$7+H30*U17</f>
        <v>11400</v>
      </c>
      <c r="K30" s="174"/>
      <c r="L30" s="190"/>
      <c r="M30" s="114"/>
      <c r="N30" s="101"/>
      <c r="O30" s="137">
        <f t="shared" si="3"/>
        <v>-34.51916358</v>
      </c>
      <c r="P30" s="73"/>
      <c r="Q30" s="73"/>
      <c r="R30" s="220"/>
      <c r="S30" s="220"/>
      <c r="T30" s="220"/>
      <c r="U30" s="220"/>
      <c r="V30" s="220"/>
      <c r="W30" s="220"/>
      <c r="X30" s="220"/>
      <c r="Y30" s="73"/>
      <c r="Z30" s="73"/>
      <c r="AA30" s="73"/>
      <c r="AB30" s="73"/>
      <c r="AC30" s="73"/>
      <c r="AD30" s="73"/>
      <c r="AE30" s="73"/>
      <c r="AF30" s="73"/>
    </row>
    <row r="31" ht="15.75" customHeight="1">
      <c r="A31" s="173"/>
      <c r="B31" s="94">
        <v>3.0</v>
      </c>
      <c r="C31" s="94">
        <v>3.0</v>
      </c>
      <c r="D31" s="94">
        <v>2.0</v>
      </c>
      <c r="E31" s="94"/>
      <c r="F31" s="101"/>
      <c r="G31" s="101">
        <v>3.0</v>
      </c>
      <c r="H31" s="101">
        <v>5.0</v>
      </c>
      <c r="I31" s="101">
        <v>1.0</v>
      </c>
      <c r="J31" s="189">
        <f>B31*$T$6+D31*$T$8+E31*$T$9+F31*$T$10+G31*$T$12+I31*$T$14+C31*$T$7+H31*T17</f>
        <v>6665</v>
      </c>
      <c r="K31" s="174"/>
      <c r="L31" s="190"/>
      <c r="M31" s="114"/>
      <c r="N31" s="101"/>
      <c r="O31" s="137">
        <f t="shared" si="3"/>
        <v>7.594215988</v>
      </c>
      <c r="P31" s="73"/>
      <c r="Q31" s="73"/>
      <c r="R31" s="220"/>
      <c r="S31" s="220"/>
      <c r="T31" s="220"/>
      <c r="U31" s="220"/>
      <c r="V31" s="220"/>
      <c r="W31" s="220"/>
      <c r="X31" s="220"/>
      <c r="Y31" s="73"/>
      <c r="Z31" s="73"/>
      <c r="AA31" s="73"/>
      <c r="AB31" s="73"/>
      <c r="AC31" s="73"/>
      <c r="AD31" s="73"/>
      <c r="AE31" s="73"/>
      <c r="AF31" s="73"/>
    </row>
    <row r="32" ht="15.75" customHeight="1">
      <c r="A32" s="173">
        <v>45835.0</v>
      </c>
      <c r="B32" s="94">
        <v>2.0</v>
      </c>
      <c r="C32" s="94">
        <v>3.0</v>
      </c>
      <c r="D32" s="94">
        <v>2.0</v>
      </c>
      <c r="E32" s="94"/>
      <c r="F32" s="101"/>
      <c r="G32" s="101">
        <v>3.0</v>
      </c>
      <c r="H32" s="101">
        <v>3.0</v>
      </c>
      <c r="I32" s="101">
        <v>1.0</v>
      </c>
      <c r="J32" s="189">
        <f t="shared" ref="J32:J49" si="10">B32*$T$6+D32*$T$8+E32*$T$9+F32*$T$10+G32*$T$12+I32*$T$14+C32*$T$7+H32*90</f>
        <v>5760</v>
      </c>
      <c r="K32" s="174" t="s">
        <v>278</v>
      </c>
      <c r="L32" s="190"/>
      <c r="M32" s="114"/>
      <c r="N32" s="101"/>
      <c r="O32" s="137">
        <f t="shared" si="3"/>
        <v>-1.670727517</v>
      </c>
      <c r="P32" s="73"/>
      <c r="Q32" s="73"/>
      <c r="R32" s="220"/>
      <c r="S32" s="220"/>
      <c r="T32" s="220"/>
      <c r="U32" s="220"/>
      <c r="V32" s="220"/>
      <c r="W32" s="220"/>
      <c r="X32" s="220"/>
      <c r="Y32" s="73"/>
      <c r="Z32" s="73"/>
      <c r="AA32" s="73"/>
      <c r="AB32" s="73"/>
      <c r="AC32" s="73"/>
      <c r="AD32" s="73"/>
      <c r="AE32" s="73"/>
      <c r="AF32" s="73"/>
    </row>
    <row r="33" ht="15.75" customHeight="1">
      <c r="A33" s="173">
        <v>45840.0</v>
      </c>
      <c r="B33" s="94"/>
      <c r="C33" s="94"/>
      <c r="D33" s="94">
        <v>2.0</v>
      </c>
      <c r="E33" s="94"/>
      <c r="F33" s="101"/>
      <c r="G33" s="101">
        <v>3.0</v>
      </c>
      <c r="H33" s="101">
        <v>3.0</v>
      </c>
      <c r="I33" s="101">
        <v>1.0</v>
      </c>
      <c r="J33" s="189">
        <f t="shared" si="10"/>
        <v>3410</v>
      </c>
      <c r="K33" s="223"/>
      <c r="L33" s="190"/>
      <c r="M33" s="114"/>
      <c r="N33" s="101"/>
      <c r="O33" s="137">
        <f t="shared" si="3"/>
        <v>0.3675600538</v>
      </c>
      <c r="P33" s="73"/>
      <c r="Q33" s="73"/>
      <c r="R33" s="220"/>
      <c r="S33" s="220"/>
      <c r="T33" s="220"/>
      <c r="U33" s="220"/>
      <c r="V33" s="220"/>
      <c r="W33" s="220"/>
      <c r="X33" s="220"/>
      <c r="Y33" s="73"/>
      <c r="Z33" s="73"/>
      <c r="AA33" s="73"/>
      <c r="AB33" s="73"/>
      <c r="AC33" s="73"/>
      <c r="AD33" s="73"/>
      <c r="AE33" s="73"/>
      <c r="AF33" s="73"/>
    </row>
    <row r="34" ht="15.75" customHeight="1">
      <c r="A34" s="173">
        <v>45847.0</v>
      </c>
      <c r="B34" s="94"/>
      <c r="C34" s="94"/>
      <c r="D34" s="94">
        <v>2.0</v>
      </c>
      <c r="E34" s="94"/>
      <c r="F34" s="101"/>
      <c r="G34" s="101">
        <v>3.0</v>
      </c>
      <c r="H34" s="101"/>
      <c r="I34" s="101">
        <v>1.0</v>
      </c>
      <c r="J34" s="189">
        <f t="shared" si="10"/>
        <v>3140</v>
      </c>
      <c r="K34" s="223"/>
      <c r="L34" s="190"/>
      <c r="M34" s="114"/>
      <c r="N34" s="101"/>
      <c r="O34" s="137">
        <f t="shared" si="3"/>
        <v>-0.08086321184</v>
      </c>
      <c r="P34" s="73"/>
      <c r="Q34" s="73"/>
      <c r="R34" s="220"/>
      <c r="S34" s="220"/>
      <c r="T34" s="220"/>
      <c r="U34" s="220"/>
      <c r="V34" s="220"/>
      <c r="W34" s="220"/>
      <c r="X34" s="220"/>
      <c r="Y34" s="73"/>
      <c r="Z34" s="73"/>
      <c r="AA34" s="73"/>
      <c r="AB34" s="73"/>
      <c r="AC34" s="73"/>
      <c r="AD34" s="73"/>
      <c r="AE34" s="73"/>
      <c r="AF34" s="73"/>
    </row>
    <row r="35" ht="15.75" customHeight="1">
      <c r="A35" s="173">
        <v>45852.0</v>
      </c>
      <c r="B35" s="94"/>
      <c r="C35" s="94"/>
      <c r="D35" s="94">
        <v>2.0</v>
      </c>
      <c r="E35" s="94"/>
      <c r="F35" s="101"/>
      <c r="G35" s="101">
        <v>3.0</v>
      </c>
      <c r="H35" s="101"/>
      <c r="I35" s="101">
        <v>1.0</v>
      </c>
      <c r="J35" s="189">
        <f t="shared" si="10"/>
        <v>3140</v>
      </c>
      <c r="K35" s="207">
        <v>45852.0</v>
      </c>
      <c r="L35" s="190"/>
      <c r="M35" s="114"/>
      <c r="N35" s="101"/>
      <c r="O35" s="137">
        <f t="shared" si="3"/>
        <v>0.0177899066</v>
      </c>
      <c r="P35" s="73"/>
      <c r="Q35" s="73"/>
      <c r="R35" s="220"/>
      <c r="S35" s="220"/>
      <c r="T35" s="220"/>
      <c r="U35" s="220"/>
      <c r="V35" s="220"/>
      <c r="W35" s="220"/>
      <c r="X35" s="220"/>
      <c r="Y35" s="73"/>
      <c r="Z35" s="73"/>
      <c r="AA35" s="73"/>
      <c r="AB35" s="73"/>
      <c r="AC35" s="73"/>
      <c r="AD35" s="73"/>
      <c r="AE35" s="73"/>
      <c r="AF35" s="73"/>
    </row>
    <row r="36" ht="15.75" customHeight="1">
      <c r="A36" s="173">
        <v>45855.0</v>
      </c>
      <c r="B36" s="94">
        <v>1.0</v>
      </c>
      <c r="C36" s="94"/>
      <c r="D36" s="94">
        <v>2.0</v>
      </c>
      <c r="E36" s="94"/>
      <c r="F36" s="101"/>
      <c r="G36" s="101">
        <v>3.0</v>
      </c>
      <c r="H36" s="101"/>
      <c r="I36" s="101">
        <v>1.0</v>
      </c>
      <c r="J36" s="189">
        <f t="shared" si="10"/>
        <v>3865</v>
      </c>
      <c r="K36" s="205">
        <v>45877.0</v>
      </c>
      <c r="L36" s="190"/>
      <c r="M36" s="114"/>
      <c r="N36" s="101"/>
      <c r="O36" s="137">
        <f t="shared" si="3"/>
        <v>-0.003913779453</v>
      </c>
      <c r="P36" s="73"/>
      <c r="Q36" s="73"/>
      <c r="R36" s="220"/>
      <c r="S36" s="220"/>
      <c r="T36" s="220"/>
      <c r="U36" s="220"/>
      <c r="V36" s="220"/>
      <c r="W36" s="220"/>
      <c r="X36" s="220"/>
      <c r="Y36" s="73"/>
      <c r="Z36" s="73"/>
      <c r="AA36" s="73"/>
      <c r="AB36" s="73"/>
      <c r="AC36" s="73"/>
      <c r="AD36" s="73"/>
      <c r="AE36" s="73"/>
      <c r="AF36" s="73"/>
    </row>
    <row r="37" ht="15.75" customHeight="1">
      <c r="A37" s="173">
        <v>45860.0</v>
      </c>
      <c r="B37" s="94"/>
      <c r="C37" s="94"/>
      <c r="D37" s="94">
        <v>2.0</v>
      </c>
      <c r="E37" s="94"/>
      <c r="F37" s="101"/>
      <c r="G37" s="101">
        <v>1.0</v>
      </c>
      <c r="H37" s="101"/>
      <c r="I37" s="101">
        <v>1.0</v>
      </c>
      <c r="J37" s="189">
        <f t="shared" si="10"/>
        <v>2360</v>
      </c>
      <c r="K37" s="205">
        <v>45877.0</v>
      </c>
      <c r="L37" s="190"/>
      <c r="M37" s="114"/>
      <c r="N37" s="101"/>
      <c r="O37" s="137">
        <f t="shared" si="3"/>
        <v>0.0008610314797</v>
      </c>
      <c r="P37" s="73"/>
      <c r="Q37" s="73"/>
      <c r="R37" s="220"/>
      <c r="S37" s="220"/>
      <c r="T37" s="220"/>
      <c r="U37" s="220"/>
      <c r="V37" s="220"/>
      <c r="W37" s="220"/>
      <c r="X37" s="220"/>
      <c r="Y37" s="73"/>
      <c r="Z37" s="73"/>
      <c r="AA37" s="73"/>
      <c r="AB37" s="73"/>
      <c r="AC37" s="73"/>
      <c r="AD37" s="73"/>
      <c r="AE37" s="73"/>
      <c r="AF37" s="73"/>
    </row>
    <row r="38" ht="15.75" customHeight="1">
      <c r="A38" s="173">
        <v>45873.0</v>
      </c>
      <c r="B38" s="94">
        <v>3.0</v>
      </c>
      <c r="C38" s="94">
        <v>3.0</v>
      </c>
      <c r="D38" s="94">
        <v>2.0</v>
      </c>
      <c r="E38" s="94"/>
      <c r="F38" s="101"/>
      <c r="G38" s="101">
        <v>4.0</v>
      </c>
      <c r="H38" s="101"/>
      <c r="I38" s="101">
        <v>2.0</v>
      </c>
      <c r="J38" s="189">
        <f t="shared" si="10"/>
        <v>7055</v>
      </c>
      <c r="K38" s="205">
        <v>45877.0</v>
      </c>
      <c r="L38" s="162"/>
      <c r="M38" s="163"/>
      <c r="N38" s="101"/>
      <c r="O38" s="137">
        <f t="shared" si="3"/>
        <v>-0.0001894269255</v>
      </c>
      <c r="P38" s="73"/>
      <c r="Q38" s="73"/>
      <c r="R38" s="220"/>
      <c r="S38" s="220"/>
      <c r="T38" s="220"/>
      <c r="U38" s="220"/>
      <c r="V38" s="220"/>
      <c r="W38" s="220"/>
      <c r="X38" s="220"/>
      <c r="Y38" s="73"/>
      <c r="Z38" s="73"/>
      <c r="AA38" s="73"/>
      <c r="AB38" s="73"/>
      <c r="AC38" s="73"/>
      <c r="AD38" s="73"/>
      <c r="AE38" s="73"/>
      <c r="AF38" s="73"/>
    </row>
    <row r="39" ht="15.75" customHeight="1">
      <c r="A39" s="227">
        <v>45875.0</v>
      </c>
      <c r="B39" s="94">
        <v>2.0</v>
      </c>
      <c r="C39" s="94"/>
      <c r="D39" s="94"/>
      <c r="E39" s="94"/>
      <c r="F39" s="101"/>
      <c r="G39" s="101">
        <v>3.0</v>
      </c>
      <c r="H39" s="101"/>
      <c r="I39" s="101"/>
      <c r="J39" s="189">
        <f t="shared" si="10"/>
        <v>2620</v>
      </c>
      <c r="K39" s="205">
        <v>45877.0</v>
      </c>
      <c r="L39" s="162"/>
      <c r="M39" s="163"/>
      <c r="N39" s="101"/>
      <c r="O39" s="137">
        <f t="shared" si="3"/>
        <v>0.00004167392362</v>
      </c>
      <c r="P39" s="73"/>
      <c r="Q39" s="73"/>
      <c r="R39" s="220"/>
      <c r="S39" s="220"/>
      <c r="T39" s="220"/>
      <c r="U39" s="220"/>
      <c r="V39" s="220"/>
      <c r="W39" s="220"/>
      <c r="X39" s="220"/>
      <c r="Y39" s="73"/>
      <c r="Z39" s="73"/>
      <c r="AA39" s="73"/>
      <c r="AB39" s="73"/>
      <c r="AC39" s="73"/>
      <c r="AD39" s="73"/>
      <c r="AE39" s="73"/>
      <c r="AF39" s="73"/>
    </row>
    <row r="40" ht="15.75" customHeight="1">
      <c r="A40" s="173">
        <v>45880.0</v>
      </c>
      <c r="B40" s="94">
        <v>1.5</v>
      </c>
      <c r="C40" s="94">
        <v>3.0</v>
      </c>
      <c r="D40" s="94">
        <v>2.0</v>
      </c>
      <c r="E40" s="94"/>
      <c r="F40" s="101"/>
      <c r="G40" s="101">
        <v>1.0</v>
      </c>
      <c r="H40" s="101"/>
      <c r="I40" s="101">
        <v>1.0</v>
      </c>
      <c r="J40" s="189">
        <f t="shared" si="10"/>
        <v>4347.5</v>
      </c>
      <c r="K40" s="205">
        <v>45891.0</v>
      </c>
      <c r="L40" s="174"/>
      <c r="M40" s="163"/>
      <c r="N40" s="101"/>
      <c r="O40" s="137">
        <f t="shared" si="3"/>
        <v>-0.000009168263196</v>
      </c>
      <c r="P40" s="73"/>
      <c r="Q40" s="73"/>
      <c r="R40" s="220"/>
      <c r="S40" s="220"/>
      <c r="T40" s="220"/>
      <c r="U40" s="220"/>
      <c r="V40" s="220"/>
      <c r="W40" s="220"/>
      <c r="X40" s="220"/>
      <c r="Y40" s="73"/>
      <c r="Z40" s="73"/>
      <c r="AA40" s="73"/>
      <c r="AB40" s="73"/>
      <c r="AC40" s="73"/>
      <c r="AD40" s="73"/>
      <c r="AE40" s="73"/>
      <c r="AF40" s="73"/>
    </row>
    <row r="41" ht="15.75" customHeight="1">
      <c r="A41" s="173">
        <v>45887.0</v>
      </c>
      <c r="B41" s="94">
        <v>2.0</v>
      </c>
      <c r="C41" s="94">
        <v>3.0</v>
      </c>
      <c r="D41" s="94">
        <v>2.0</v>
      </c>
      <c r="E41" s="94"/>
      <c r="F41" s="101"/>
      <c r="G41" s="101">
        <v>4.0</v>
      </c>
      <c r="H41" s="101">
        <v>3.0</v>
      </c>
      <c r="I41" s="101">
        <v>1.0</v>
      </c>
      <c r="J41" s="189">
        <f t="shared" si="10"/>
        <v>6150</v>
      </c>
      <c r="K41" s="205">
        <v>45891.0</v>
      </c>
      <c r="L41" s="162"/>
      <c r="M41" s="163"/>
      <c r="N41" s="101"/>
      <c r="O41" s="137">
        <f t="shared" si="3"/>
        <v>0.000002017017903</v>
      </c>
      <c r="P41" s="73"/>
      <c r="Q41" s="73"/>
      <c r="R41" s="220"/>
      <c r="S41" s="220"/>
      <c r="T41" s="220"/>
      <c r="U41" s="220"/>
      <c r="V41" s="220"/>
      <c r="W41" s="220"/>
      <c r="X41" s="220"/>
      <c r="Y41" s="73"/>
      <c r="Z41" s="73"/>
      <c r="AA41" s="73"/>
      <c r="AB41" s="73"/>
      <c r="AC41" s="73"/>
      <c r="AD41" s="73"/>
      <c r="AE41" s="73"/>
      <c r="AF41" s="73"/>
    </row>
    <row r="42" ht="15.75" customHeight="1">
      <c r="A42" s="173">
        <v>45889.0</v>
      </c>
      <c r="B42" s="94">
        <v>3.0</v>
      </c>
      <c r="C42" s="94">
        <v>3.0</v>
      </c>
      <c r="D42" s="94">
        <v>5.0</v>
      </c>
      <c r="E42" s="94">
        <v>1.0</v>
      </c>
      <c r="F42" s="101"/>
      <c r="G42" s="101">
        <v>5.0</v>
      </c>
      <c r="H42" s="101"/>
      <c r="I42" s="101">
        <v>1.0</v>
      </c>
      <c r="J42" s="189">
        <f t="shared" si="10"/>
        <v>9430</v>
      </c>
      <c r="K42" s="205">
        <v>45891.0</v>
      </c>
      <c r="L42" s="162"/>
      <c r="M42" s="163"/>
      <c r="N42" s="101"/>
      <c r="O42" s="137">
        <f t="shared" si="3"/>
        <v>-0.0000004437439387</v>
      </c>
      <c r="P42" s="73"/>
      <c r="Q42" s="73"/>
      <c r="R42" s="220"/>
      <c r="S42" s="220"/>
      <c r="T42" s="220"/>
      <c r="U42" s="220"/>
      <c r="V42" s="220"/>
      <c r="W42" s="220"/>
      <c r="X42" s="220"/>
      <c r="Y42" s="73"/>
      <c r="Z42" s="73"/>
      <c r="AA42" s="73"/>
      <c r="AB42" s="73"/>
      <c r="AC42" s="73"/>
      <c r="AD42" s="73"/>
      <c r="AE42" s="73"/>
      <c r="AF42" s="73"/>
    </row>
    <row r="43" ht="15.75" customHeight="1">
      <c r="A43" s="173">
        <v>45890.0</v>
      </c>
      <c r="B43" s="94">
        <v>2.0</v>
      </c>
      <c r="C43" s="94">
        <v>3.0</v>
      </c>
      <c r="D43" s="94">
        <v>5.0</v>
      </c>
      <c r="E43" s="94">
        <v>1.0</v>
      </c>
      <c r="F43" s="101"/>
      <c r="G43" s="101">
        <v>3.0</v>
      </c>
      <c r="H43" s="101"/>
      <c r="I43" s="101">
        <v>1.0</v>
      </c>
      <c r="J43" s="189">
        <f t="shared" si="10"/>
        <v>7925</v>
      </c>
      <c r="K43" s="205">
        <v>45891.0</v>
      </c>
      <c r="L43" s="162"/>
      <c r="M43" s="163"/>
      <c r="N43" s="101"/>
      <c r="O43" s="137">
        <f t="shared" si="3"/>
        <v>0.00000009762366651</v>
      </c>
      <c r="P43" s="73"/>
      <c r="Q43" s="73"/>
      <c r="R43" s="220"/>
      <c r="S43" s="220"/>
      <c r="T43" s="220"/>
      <c r="U43" s="220"/>
      <c r="V43" s="220"/>
      <c r="W43" s="220"/>
      <c r="X43" s="220"/>
      <c r="Y43" s="73"/>
      <c r="Z43" s="73"/>
      <c r="AA43" s="73"/>
      <c r="AB43" s="73"/>
      <c r="AC43" s="73"/>
      <c r="AD43" s="73"/>
      <c r="AE43" s="73"/>
      <c r="AF43" s="73"/>
    </row>
    <row r="44" ht="15.75" customHeight="1">
      <c r="A44" s="173">
        <v>45902.0</v>
      </c>
      <c r="B44" s="94"/>
      <c r="C44" s="94"/>
      <c r="D44" s="94"/>
      <c r="E44" s="94"/>
      <c r="F44" s="101"/>
      <c r="G44" s="101"/>
      <c r="H44" s="101"/>
      <c r="I44" s="101"/>
      <c r="J44" s="189">
        <f t="shared" si="10"/>
        <v>0</v>
      </c>
      <c r="K44" s="174"/>
      <c r="L44" s="162"/>
      <c r="M44" s="163"/>
      <c r="N44" s="101"/>
      <c r="O44" s="137">
        <f t="shared" si="3"/>
        <v>-0.00000002147720663</v>
      </c>
      <c r="P44" s="73"/>
      <c r="Q44" s="73"/>
      <c r="R44" s="220"/>
      <c r="S44" s="220"/>
      <c r="T44" s="220"/>
      <c r="U44" s="220"/>
      <c r="V44" s="220"/>
      <c r="W44" s="220"/>
      <c r="X44" s="220"/>
      <c r="Y44" s="73"/>
      <c r="Z44" s="73"/>
      <c r="AA44" s="73"/>
      <c r="AB44" s="73"/>
      <c r="AC44" s="73"/>
      <c r="AD44" s="73"/>
      <c r="AE44" s="73"/>
      <c r="AF44" s="73"/>
    </row>
    <row r="45" ht="15.75" customHeight="1">
      <c r="A45" s="173"/>
      <c r="B45" s="94"/>
      <c r="C45" s="94"/>
      <c r="D45" s="94"/>
      <c r="E45" s="94"/>
      <c r="F45" s="101"/>
      <c r="G45" s="101"/>
      <c r="H45" s="101"/>
      <c r="I45" s="101"/>
      <c r="J45" s="189">
        <f t="shared" si="10"/>
        <v>0</v>
      </c>
      <c r="K45" s="174"/>
      <c r="L45" s="162"/>
      <c r="M45" s="163"/>
      <c r="N45" s="101"/>
      <c r="O45" s="137">
        <f t="shared" si="3"/>
        <v>0.000000004724985459</v>
      </c>
      <c r="P45" s="73"/>
      <c r="Q45" s="73"/>
      <c r="R45" s="220"/>
      <c r="S45" s="220"/>
      <c r="T45" s="220"/>
      <c r="U45" s="220"/>
      <c r="V45" s="220"/>
      <c r="W45" s="220"/>
      <c r="X45" s="220"/>
      <c r="Y45" s="73"/>
      <c r="Z45" s="73"/>
      <c r="AA45" s="73"/>
      <c r="AB45" s="73"/>
      <c r="AC45" s="73"/>
      <c r="AD45" s="73"/>
      <c r="AE45" s="73"/>
      <c r="AF45" s="73"/>
    </row>
    <row r="46" ht="15.75" customHeight="1">
      <c r="A46" s="173"/>
      <c r="B46" s="94"/>
      <c r="C46" s="94"/>
      <c r="D46" s="94"/>
      <c r="E46" s="94"/>
      <c r="F46" s="101"/>
      <c r="G46" s="101"/>
      <c r="H46" s="101"/>
      <c r="I46" s="101"/>
      <c r="J46" s="189">
        <f t="shared" si="10"/>
        <v>0</v>
      </c>
      <c r="K46" s="174"/>
      <c r="L46" s="162"/>
      <c r="M46" s="163"/>
      <c r="N46" s="101"/>
      <c r="O46" s="137">
        <f t="shared" si="3"/>
        <v>-0.000000001039496801</v>
      </c>
      <c r="P46" s="73"/>
      <c r="Q46" s="73"/>
      <c r="R46" s="220"/>
      <c r="S46" s="220"/>
      <c r="T46" s="220"/>
      <c r="U46" s="220"/>
      <c r="V46" s="220"/>
      <c r="W46" s="220"/>
      <c r="X46" s="220"/>
      <c r="Y46" s="73"/>
      <c r="Z46" s="73"/>
      <c r="AA46" s="73"/>
      <c r="AB46" s="73"/>
      <c r="AC46" s="73"/>
      <c r="AD46" s="73"/>
      <c r="AE46" s="73"/>
      <c r="AF46" s="73"/>
    </row>
    <row r="47" ht="15.75" customHeight="1">
      <c r="A47" s="173"/>
      <c r="B47" s="94"/>
      <c r="C47" s="94"/>
      <c r="D47" s="94"/>
      <c r="E47" s="94"/>
      <c r="F47" s="101"/>
      <c r="G47" s="101"/>
      <c r="H47" s="101"/>
      <c r="I47" s="101"/>
      <c r="J47" s="189">
        <f t="shared" si="10"/>
        <v>0</v>
      </c>
      <c r="K47" s="174"/>
      <c r="L47" s="162"/>
      <c r="M47" s="163"/>
      <c r="N47" s="101"/>
      <c r="O47" s="137">
        <f t="shared" si="3"/>
        <v>0.0000000002286892962</v>
      </c>
      <c r="P47" s="73"/>
      <c r="Q47" s="73"/>
      <c r="R47" s="220"/>
      <c r="S47" s="220"/>
      <c r="T47" s="220"/>
      <c r="U47" s="220"/>
      <c r="V47" s="220"/>
      <c r="W47" s="220"/>
      <c r="X47" s="220"/>
      <c r="Y47" s="73"/>
      <c r="Z47" s="73"/>
      <c r="AA47" s="73"/>
      <c r="AB47" s="73"/>
      <c r="AC47" s="73"/>
      <c r="AD47" s="73"/>
      <c r="AE47" s="73"/>
      <c r="AF47" s="73"/>
    </row>
    <row r="48" ht="15.75" customHeight="1">
      <c r="A48" s="173"/>
      <c r="B48" s="94"/>
      <c r="C48" s="94"/>
      <c r="D48" s="94"/>
      <c r="E48" s="94"/>
      <c r="F48" s="101"/>
      <c r="G48" s="101"/>
      <c r="H48" s="101"/>
      <c r="I48" s="101"/>
      <c r="J48" s="189">
        <f t="shared" si="10"/>
        <v>0</v>
      </c>
      <c r="K48" s="174"/>
      <c r="L48" s="162"/>
      <c r="M48" s="163"/>
      <c r="N48" s="101"/>
      <c r="O48" s="137">
        <f t="shared" si="3"/>
        <v>0</v>
      </c>
      <c r="P48" s="73"/>
      <c r="Q48" s="73"/>
      <c r="R48" s="220"/>
      <c r="S48" s="220"/>
      <c r="T48" s="220"/>
      <c r="U48" s="220"/>
      <c r="V48" s="220"/>
      <c r="W48" s="220"/>
      <c r="X48" s="220"/>
      <c r="Y48" s="73"/>
      <c r="Z48" s="73"/>
      <c r="AA48" s="73"/>
      <c r="AB48" s="73"/>
      <c r="AC48" s="73"/>
      <c r="AD48" s="73"/>
      <c r="AE48" s="73"/>
      <c r="AF48" s="73"/>
    </row>
    <row r="49" ht="15.75" customHeight="1">
      <c r="A49" s="173"/>
      <c r="B49" s="94"/>
      <c r="C49" s="94"/>
      <c r="D49" s="94"/>
      <c r="E49" s="94"/>
      <c r="F49" s="101"/>
      <c r="G49" s="101"/>
      <c r="H49" s="101"/>
      <c r="I49" s="101"/>
      <c r="J49" s="189">
        <f t="shared" si="10"/>
        <v>0</v>
      </c>
      <c r="K49" s="174"/>
      <c r="L49" s="162"/>
      <c r="M49" s="163"/>
      <c r="N49" s="101"/>
      <c r="O49" s="137">
        <f t="shared" si="3"/>
        <v>0</v>
      </c>
      <c r="P49" s="73"/>
      <c r="Q49" s="73"/>
      <c r="R49" s="220"/>
      <c r="S49" s="220"/>
      <c r="T49" s="220"/>
      <c r="U49" s="220"/>
      <c r="V49" s="220"/>
      <c r="W49" s="220"/>
      <c r="X49" s="220"/>
      <c r="Y49" s="73"/>
      <c r="Z49" s="73"/>
      <c r="AA49" s="73"/>
      <c r="AB49" s="73"/>
      <c r="AC49" s="73"/>
      <c r="AD49" s="73"/>
      <c r="AE49" s="73"/>
      <c r="AF49" s="73"/>
    </row>
    <row r="50" ht="15.75" customHeight="1">
      <c r="A50" s="173"/>
      <c r="B50" s="94"/>
      <c r="C50" s="94"/>
      <c r="D50" s="94"/>
      <c r="E50" s="94"/>
      <c r="F50" s="101"/>
      <c r="G50" s="101"/>
      <c r="H50" s="101"/>
      <c r="I50" s="101"/>
      <c r="J50" s="189">
        <f t="shared" ref="J50:J68" si="11">B50*$T$6+D50*$T$8+E50*$T$9+F50*$T$10+G50*$T$12+I50*$T$14+C50*$T$7+H50*U40</f>
        <v>0</v>
      </c>
      <c r="K50" s="174"/>
      <c r="L50" s="162"/>
      <c r="M50" s="163"/>
      <c r="N50" s="101"/>
      <c r="O50" s="137">
        <f t="shared" si="3"/>
        <v>0</v>
      </c>
      <c r="P50" s="73"/>
      <c r="Q50" s="73"/>
      <c r="R50" s="220"/>
      <c r="S50" s="220"/>
      <c r="T50" s="220"/>
      <c r="U50" s="220"/>
      <c r="V50" s="220"/>
      <c r="W50" s="220"/>
      <c r="X50" s="220"/>
      <c r="Y50" s="73"/>
      <c r="Z50" s="73"/>
      <c r="AA50" s="73"/>
      <c r="AB50" s="73"/>
      <c r="AC50" s="73"/>
      <c r="AD50" s="73"/>
      <c r="AE50" s="73"/>
      <c r="AF50" s="73"/>
    </row>
    <row r="51" ht="15.75" customHeight="1">
      <c r="A51" s="173"/>
      <c r="B51" s="94"/>
      <c r="C51" s="94"/>
      <c r="D51" s="94"/>
      <c r="E51" s="94"/>
      <c r="F51" s="101"/>
      <c r="G51" s="101"/>
      <c r="H51" s="101"/>
      <c r="I51" s="101"/>
      <c r="J51" s="189">
        <f t="shared" si="11"/>
        <v>0</v>
      </c>
      <c r="K51" s="174"/>
      <c r="L51" s="162"/>
      <c r="M51" s="163"/>
      <c r="N51" s="101"/>
      <c r="O51" s="137">
        <f t="shared" si="3"/>
        <v>0</v>
      </c>
      <c r="P51" s="73"/>
      <c r="Q51" s="73"/>
      <c r="R51" s="220"/>
      <c r="S51" s="220"/>
      <c r="T51" s="220"/>
      <c r="U51" s="220"/>
      <c r="V51" s="220"/>
      <c r="W51" s="220"/>
      <c r="X51" s="220"/>
      <c r="Y51" s="73"/>
      <c r="Z51" s="73"/>
      <c r="AA51" s="73"/>
      <c r="AB51" s="73"/>
      <c r="AC51" s="73"/>
      <c r="AD51" s="73"/>
      <c r="AE51" s="73"/>
      <c r="AF51" s="73"/>
    </row>
    <row r="52" ht="15.75" customHeight="1">
      <c r="A52" s="173"/>
      <c r="B52" s="94"/>
      <c r="C52" s="94"/>
      <c r="D52" s="94"/>
      <c r="E52" s="94"/>
      <c r="F52" s="101"/>
      <c r="G52" s="101"/>
      <c r="H52" s="101"/>
      <c r="I52" s="101"/>
      <c r="J52" s="189">
        <f t="shared" si="11"/>
        <v>0</v>
      </c>
      <c r="K52" s="174"/>
      <c r="L52" s="162"/>
      <c r="M52" s="163"/>
      <c r="N52" s="101"/>
      <c r="O52" s="137">
        <f t="shared" si="3"/>
        <v>0</v>
      </c>
      <c r="P52" s="73"/>
      <c r="Q52" s="73"/>
      <c r="R52" s="220"/>
      <c r="S52" s="220"/>
      <c r="T52" s="220"/>
      <c r="U52" s="220"/>
      <c r="V52" s="220"/>
      <c r="W52" s="220"/>
      <c r="X52" s="220"/>
      <c r="Y52" s="73"/>
      <c r="Z52" s="73"/>
      <c r="AA52" s="73"/>
      <c r="AB52" s="73"/>
      <c r="AC52" s="73"/>
      <c r="AD52" s="73"/>
      <c r="AE52" s="73"/>
      <c r="AF52" s="73"/>
    </row>
    <row r="53" ht="15.75" customHeight="1">
      <c r="A53" s="173"/>
      <c r="B53" s="94"/>
      <c r="C53" s="94"/>
      <c r="D53" s="94"/>
      <c r="E53" s="94"/>
      <c r="F53" s="101"/>
      <c r="G53" s="101"/>
      <c r="H53" s="101"/>
      <c r="I53" s="101"/>
      <c r="J53" s="189">
        <f t="shared" si="11"/>
        <v>0</v>
      </c>
      <c r="K53" s="174"/>
      <c r="L53" s="162"/>
      <c r="M53" s="163"/>
      <c r="N53" s="101"/>
      <c r="O53" s="137">
        <f t="shared" si="3"/>
        <v>0</v>
      </c>
      <c r="P53" s="73"/>
      <c r="Q53" s="73"/>
      <c r="R53" s="220"/>
      <c r="S53" s="220"/>
      <c r="T53" s="220"/>
      <c r="U53" s="220"/>
      <c r="V53" s="220"/>
      <c r="W53" s="220"/>
      <c r="X53" s="220"/>
      <c r="Y53" s="73"/>
      <c r="Z53" s="73"/>
      <c r="AA53" s="73"/>
      <c r="AB53" s="73"/>
      <c r="AC53" s="73"/>
      <c r="AD53" s="73"/>
      <c r="AE53" s="73"/>
      <c r="AF53" s="73"/>
    </row>
    <row r="54" ht="15.75" customHeight="1">
      <c r="A54" s="173"/>
      <c r="B54" s="94"/>
      <c r="C54" s="94"/>
      <c r="D54" s="94"/>
      <c r="E54" s="94"/>
      <c r="F54" s="101"/>
      <c r="G54" s="101"/>
      <c r="H54" s="101"/>
      <c r="I54" s="101"/>
      <c r="J54" s="189">
        <f t="shared" si="11"/>
        <v>0</v>
      </c>
      <c r="K54" s="174"/>
      <c r="L54" s="162"/>
      <c r="M54" s="163"/>
      <c r="N54" s="101"/>
      <c r="O54" s="137">
        <f t="shared" si="3"/>
        <v>0</v>
      </c>
      <c r="P54" s="73"/>
      <c r="Q54" s="73"/>
      <c r="R54" s="220"/>
      <c r="S54" s="220"/>
      <c r="T54" s="220"/>
      <c r="U54" s="220"/>
      <c r="V54" s="220"/>
      <c r="W54" s="220"/>
      <c r="X54" s="220"/>
      <c r="Y54" s="73"/>
      <c r="Z54" s="73"/>
      <c r="AA54" s="73"/>
      <c r="AB54" s="73"/>
      <c r="AC54" s="73"/>
      <c r="AD54" s="73"/>
      <c r="AE54" s="73"/>
      <c r="AF54" s="73"/>
    </row>
    <row r="55" ht="15.75" customHeight="1">
      <c r="A55" s="173"/>
      <c r="B55" s="94"/>
      <c r="C55" s="94"/>
      <c r="D55" s="94"/>
      <c r="E55" s="94"/>
      <c r="F55" s="101"/>
      <c r="G55" s="101"/>
      <c r="H55" s="101"/>
      <c r="I55" s="101"/>
      <c r="J55" s="189">
        <f t="shared" si="11"/>
        <v>0</v>
      </c>
      <c r="K55" s="174"/>
      <c r="L55" s="162"/>
      <c r="M55" s="163"/>
      <c r="N55" s="101"/>
      <c r="O55" s="137">
        <f t="shared" si="3"/>
        <v>0</v>
      </c>
      <c r="P55" s="73"/>
      <c r="Q55" s="73"/>
      <c r="R55" s="220"/>
      <c r="S55" s="220"/>
      <c r="T55" s="220"/>
      <c r="U55" s="220"/>
      <c r="V55" s="220"/>
      <c r="W55" s="220"/>
      <c r="X55" s="220"/>
      <c r="Y55" s="73"/>
      <c r="Z55" s="73"/>
      <c r="AA55" s="73"/>
      <c r="AB55" s="73"/>
      <c r="AC55" s="73"/>
      <c r="AD55" s="73"/>
      <c r="AE55" s="73"/>
      <c r="AF55" s="73"/>
    </row>
    <row r="56" ht="15.75" customHeight="1">
      <c r="A56" s="173"/>
      <c r="B56" s="94"/>
      <c r="C56" s="94"/>
      <c r="D56" s="94"/>
      <c r="E56" s="94"/>
      <c r="F56" s="101"/>
      <c r="G56" s="101"/>
      <c r="H56" s="101"/>
      <c r="I56" s="101"/>
      <c r="J56" s="189">
        <f t="shared" si="11"/>
        <v>0</v>
      </c>
      <c r="K56" s="174"/>
      <c r="L56" s="162"/>
      <c r="M56" s="163"/>
      <c r="N56" s="101"/>
      <c r="O56" s="137">
        <f t="shared" si="3"/>
        <v>0</v>
      </c>
      <c r="P56" s="73"/>
      <c r="Q56" s="73"/>
      <c r="R56" s="220"/>
      <c r="S56" s="220"/>
      <c r="T56" s="220"/>
      <c r="U56" s="220"/>
      <c r="V56" s="220"/>
      <c r="W56" s="220"/>
      <c r="X56" s="220"/>
      <c r="Y56" s="73"/>
      <c r="Z56" s="73"/>
      <c r="AA56" s="73"/>
      <c r="AB56" s="73"/>
      <c r="AC56" s="73"/>
      <c r="AD56" s="73"/>
      <c r="AE56" s="73"/>
      <c r="AF56" s="73"/>
    </row>
    <row r="57" ht="15.75" customHeight="1">
      <c r="A57" s="173"/>
      <c r="B57" s="94"/>
      <c r="C57" s="94"/>
      <c r="D57" s="94"/>
      <c r="E57" s="94"/>
      <c r="F57" s="101"/>
      <c r="G57" s="101"/>
      <c r="H57" s="101"/>
      <c r="I57" s="101"/>
      <c r="J57" s="189">
        <f t="shared" si="11"/>
        <v>0</v>
      </c>
      <c r="K57" s="174"/>
      <c r="L57" s="162"/>
      <c r="M57" s="163"/>
      <c r="N57" s="101"/>
      <c r="O57" s="137">
        <f t="shared" si="3"/>
        <v>0</v>
      </c>
      <c r="P57" s="73"/>
      <c r="Q57" s="73"/>
      <c r="R57" s="220"/>
      <c r="S57" s="220"/>
      <c r="T57" s="220"/>
      <c r="U57" s="220"/>
      <c r="V57" s="220"/>
      <c r="W57" s="220"/>
      <c r="X57" s="220"/>
      <c r="Y57" s="73"/>
      <c r="Z57" s="73"/>
      <c r="AA57" s="73"/>
      <c r="AB57" s="73"/>
      <c r="AC57" s="73"/>
      <c r="AD57" s="73"/>
      <c r="AE57" s="73"/>
      <c r="AF57" s="73"/>
    </row>
    <row r="58" ht="15.75" customHeight="1">
      <c r="A58" s="173"/>
      <c r="B58" s="94"/>
      <c r="C58" s="94"/>
      <c r="D58" s="94"/>
      <c r="E58" s="94"/>
      <c r="F58" s="101"/>
      <c r="G58" s="101"/>
      <c r="H58" s="101"/>
      <c r="I58" s="101"/>
      <c r="J58" s="189">
        <f t="shared" si="11"/>
        <v>0</v>
      </c>
      <c r="K58" s="174"/>
      <c r="L58" s="162"/>
      <c r="M58" s="163"/>
      <c r="N58" s="101"/>
      <c r="O58" s="137">
        <f t="shared" si="3"/>
        <v>0</v>
      </c>
      <c r="P58" s="73"/>
      <c r="Q58" s="73"/>
      <c r="R58" s="220"/>
      <c r="S58" s="220"/>
      <c r="T58" s="220"/>
      <c r="U58" s="220"/>
      <c r="V58" s="220"/>
      <c r="W58" s="220"/>
      <c r="X58" s="220"/>
      <c r="Y58" s="73"/>
      <c r="Z58" s="73"/>
      <c r="AA58" s="73"/>
      <c r="AB58" s="73"/>
      <c r="AC58" s="73"/>
      <c r="AD58" s="73"/>
      <c r="AE58" s="73"/>
      <c r="AF58" s="73"/>
    </row>
    <row r="59" ht="15.75" customHeight="1">
      <c r="A59" s="173"/>
      <c r="B59" s="94"/>
      <c r="C59" s="94"/>
      <c r="D59" s="94"/>
      <c r="E59" s="94"/>
      <c r="F59" s="101"/>
      <c r="G59" s="101"/>
      <c r="H59" s="101"/>
      <c r="I59" s="101"/>
      <c r="J59" s="189">
        <f t="shared" si="11"/>
        <v>0</v>
      </c>
      <c r="K59" s="174"/>
      <c r="L59" s="162"/>
      <c r="M59" s="163"/>
      <c r="N59" s="101"/>
      <c r="O59" s="137">
        <f t="shared" si="3"/>
        <v>0</v>
      </c>
      <c r="P59" s="73"/>
      <c r="Q59" s="73"/>
      <c r="R59" s="220"/>
      <c r="S59" s="220"/>
      <c r="T59" s="220"/>
      <c r="U59" s="220"/>
      <c r="V59" s="220"/>
      <c r="W59" s="220"/>
      <c r="X59" s="220"/>
      <c r="Y59" s="73"/>
      <c r="Z59" s="73"/>
      <c r="AA59" s="73"/>
      <c r="AB59" s="73"/>
      <c r="AC59" s="73"/>
      <c r="AD59" s="73"/>
      <c r="AE59" s="73"/>
      <c r="AF59" s="73"/>
    </row>
    <row r="60" ht="15.75" customHeight="1">
      <c r="A60" s="173"/>
      <c r="B60" s="94"/>
      <c r="C60" s="94"/>
      <c r="D60" s="94"/>
      <c r="E60" s="94"/>
      <c r="F60" s="101"/>
      <c r="G60" s="101"/>
      <c r="H60" s="101"/>
      <c r="I60" s="101"/>
      <c r="J60" s="189">
        <f t="shared" si="11"/>
        <v>0</v>
      </c>
      <c r="K60" s="174"/>
      <c r="L60" s="162"/>
      <c r="M60" s="163"/>
      <c r="N60" s="101"/>
      <c r="O60" s="137">
        <f t="shared" si="3"/>
        <v>0</v>
      </c>
      <c r="P60" s="73"/>
      <c r="Q60" s="73"/>
      <c r="R60" s="220"/>
      <c r="S60" s="220"/>
      <c r="T60" s="220"/>
      <c r="U60" s="220"/>
      <c r="V60" s="220"/>
      <c r="W60" s="220"/>
      <c r="X60" s="220"/>
      <c r="Y60" s="73"/>
      <c r="Z60" s="73"/>
      <c r="AA60" s="73"/>
      <c r="AB60" s="73"/>
      <c r="AC60" s="73"/>
      <c r="AD60" s="73"/>
      <c r="AE60" s="73"/>
      <c r="AF60" s="73"/>
    </row>
    <row r="61" ht="15.75" customHeight="1">
      <c r="A61" s="173"/>
      <c r="B61" s="94"/>
      <c r="C61" s="94"/>
      <c r="D61" s="94"/>
      <c r="E61" s="94"/>
      <c r="F61" s="101"/>
      <c r="G61" s="101"/>
      <c r="H61" s="101"/>
      <c r="I61" s="101"/>
      <c r="J61" s="189">
        <f t="shared" si="11"/>
        <v>0</v>
      </c>
      <c r="K61" s="174"/>
      <c r="L61" s="162"/>
      <c r="M61" s="163"/>
      <c r="N61" s="101"/>
      <c r="O61" s="137">
        <f t="shared" si="3"/>
        <v>0</v>
      </c>
      <c r="P61" s="73"/>
      <c r="Q61" s="73"/>
      <c r="R61" s="220"/>
      <c r="S61" s="220"/>
      <c r="T61" s="220"/>
      <c r="U61" s="220"/>
      <c r="V61" s="220"/>
      <c r="W61" s="220"/>
      <c r="X61" s="220"/>
      <c r="Y61" s="73"/>
      <c r="Z61" s="73"/>
      <c r="AA61" s="73"/>
      <c r="AB61" s="73"/>
      <c r="AC61" s="73"/>
      <c r="AD61" s="73"/>
      <c r="AE61" s="73"/>
      <c r="AF61" s="73"/>
    </row>
    <row r="62" ht="15.75" customHeight="1">
      <c r="A62" s="173"/>
      <c r="B62" s="94"/>
      <c r="C62" s="94"/>
      <c r="D62" s="94"/>
      <c r="E62" s="94"/>
      <c r="F62" s="101"/>
      <c r="G62" s="101"/>
      <c r="H62" s="101"/>
      <c r="I62" s="101"/>
      <c r="J62" s="189">
        <f t="shared" si="11"/>
        <v>0</v>
      </c>
      <c r="K62" s="174"/>
      <c r="L62" s="162"/>
      <c r="M62" s="163"/>
      <c r="N62" s="101"/>
      <c r="O62" s="137">
        <f t="shared" si="3"/>
        <v>0</v>
      </c>
      <c r="P62" s="73"/>
      <c r="Q62" s="73"/>
      <c r="R62" s="220"/>
      <c r="S62" s="220"/>
      <c r="T62" s="220"/>
      <c r="U62" s="220"/>
      <c r="V62" s="220"/>
      <c r="W62" s="220"/>
      <c r="X62" s="220"/>
      <c r="Y62" s="73"/>
      <c r="Z62" s="73"/>
      <c r="AA62" s="73"/>
      <c r="AB62" s="73"/>
      <c r="AC62" s="73"/>
      <c r="AD62" s="73"/>
      <c r="AE62" s="73"/>
      <c r="AF62" s="73"/>
    </row>
    <row r="63" ht="15.75" customHeight="1">
      <c r="A63" s="173"/>
      <c r="B63" s="94"/>
      <c r="C63" s="94"/>
      <c r="D63" s="94"/>
      <c r="E63" s="94"/>
      <c r="F63" s="101"/>
      <c r="G63" s="101"/>
      <c r="H63" s="101"/>
      <c r="I63" s="101"/>
      <c r="J63" s="189">
        <f t="shared" si="11"/>
        <v>0</v>
      </c>
      <c r="K63" s="174"/>
      <c r="L63" s="162"/>
      <c r="M63" s="163"/>
      <c r="N63" s="101"/>
      <c r="O63" s="137">
        <f t="shared" si="3"/>
        <v>0</v>
      </c>
      <c r="P63" s="73"/>
      <c r="Q63" s="73"/>
      <c r="R63" s="220"/>
      <c r="S63" s="220"/>
      <c r="T63" s="220"/>
      <c r="U63" s="220"/>
      <c r="V63" s="220"/>
      <c r="W63" s="220"/>
      <c r="X63" s="220"/>
      <c r="Y63" s="73"/>
      <c r="Z63" s="73"/>
      <c r="AA63" s="73"/>
      <c r="AB63" s="73"/>
      <c r="AC63" s="73"/>
      <c r="AD63" s="73"/>
      <c r="AE63" s="73"/>
      <c r="AF63" s="73"/>
    </row>
    <row r="64" ht="15.75" customHeight="1">
      <c r="A64" s="173"/>
      <c r="B64" s="94"/>
      <c r="C64" s="94"/>
      <c r="D64" s="94"/>
      <c r="E64" s="94"/>
      <c r="F64" s="101"/>
      <c r="G64" s="101"/>
      <c r="H64" s="101"/>
      <c r="I64" s="101"/>
      <c r="J64" s="189">
        <f t="shared" si="11"/>
        <v>0</v>
      </c>
      <c r="K64" s="174"/>
      <c r="L64" s="162"/>
      <c r="M64" s="163"/>
      <c r="N64" s="101"/>
      <c r="O64" s="137">
        <f t="shared" si="3"/>
        <v>0</v>
      </c>
      <c r="P64" s="73"/>
      <c r="Q64" s="73"/>
      <c r="R64" s="220"/>
      <c r="S64" s="220"/>
      <c r="T64" s="220"/>
      <c r="U64" s="220"/>
      <c r="V64" s="220"/>
      <c r="W64" s="220"/>
      <c r="X64" s="220"/>
      <c r="Y64" s="73"/>
      <c r="Z64" s="73"/>
      <c r="AA64" s="73"/>
      <c r="AB64" s="73"/>
      <c r="AC64" s="73"/>
      <c r="AD64" s="73"/>
      <c r="AE64" s="73"/>
      <c r="AF64" s="73"/>
    </row>
    <row r="65" ht="15.75" customHeight="1">
      <c r="A65" s="173"/>
      <c r="B65" s="94"/>
      <c r="C65" s="94"/>
      <c r="D65" s="94"/>
      <c r="E65" s="94"/>
      <c r="F65" s="101"/>
      <c r="G65" s="101"/>
      <c r="H65" s="101"/>
      <c r="I65" s="101"/>
      <c r="J65" s="189">
        <f t="shared" si="11"/>
        <v>0</v>
      </c>
      <c r="K65" s="174"/>
      <c r="L65" s="162"/>
      <c r="M65" s="163"/>
      <c r="N65" s="101"/>
      <c r="O65" s="137">
        <f t="shared" si="3"/>
        <v>0</v>
      </c>
      <c r="P65" s="73"/>
      <c r="Q65" s="73"/>
      <c r="R65" s="220"/>
      <c r="S65" s="220"/>
      <c r="T65" s="220"/>
      <c r="U65" s="220"/>
      <c r="V65" s="220"/>
      <c r="W65" s="220"/>
      <c r="X65" s="220"/>
      <c r="Y65" s="73"/>
      <c r="Z65" s="73"/>
      <c r="AA65" s="73"/>
      <c r="AB65" s="73"/>
      <c r="AC65" s="73"/>
      <c r="AD65" s="73"/>
      <c r="AE65" s="73"/>
      <c r="AF65" s="73"/>
    </row>
    <row r="66" ht="15.75" customHeight="1">
      <c r="A66" s="173"/>
      <c r="B66" s="94"/>
      <c r="C66" s="94"/>
      <c r="D66" s="94"/>
      <c r="E66" s="94"/>
      <c r="F66" s="101"/>
      <c r="G66" s="101"/>
      <c r="H66" s="101"/>
      <c r="I66" s="101"/>
      <c r="J66" s="189">
        <f t="shared" si="11"/>
        <v>0</v>
      </c>
      <c r="K66" s="174"/>
      <c r="L66" s="162"/>
      <c r="M66" s="163"/>
      <c r="N66" s="101"/>
      <c r="O66" s="137">
        <f t="shared" si="3"/>
        <v>0</v>
      </c>
      <c r="P66" s="73"/>
      <c r="Q66" s="73"/>
      <c r="R66" s="220"/>
      <c r="S66" s="220"/>
      <c r="T66" s="220"/>
      <c r="U66" s="220"/>
      <c r="V66" s="220"/>
      <c r="W66" s="220"/>
      <c r="X66" s="220"/>
      <c r="Y66" s="73"/>
      <c r="Z66" s="73"/>
      <c r="AA66" s="73"/>
      <c r="AB66" s="73"/>
      <c r="AC66" s="73"/>
      <c r="AD66" s="73"/>
      <c r="AE66" s="73"/>
      <c r="AF66" s="73"/>
    </row>
    <row r="67" ht="15.75" customHeight="1">
      <c r="A67" s="173"/>
      <c r="B67" s="94"/>
      <c r="C67" s="94"/>
      <c r="D67" s="94"/>
      <c r="E67" s="94"/>
      <c r="F67" s="101"/>
      <c r="G67" s="101"/>
      <c r="H67" s="101"/>
      <c r="I67" s="101"/>
      <c r="J67" s="189">
        <f t="shared" si="11"/>
        <v>0</v>
      </c>
      <c r="K67" s="174"/>
      <c r="L67" s="162"/>
      <c r="M67" s="163"/>
      <c r="N67" s="101"/>
      <c r="O67" s="137">
        <f t="shared" si="3"/>
        <v>0</v>
      </c>
      <c r="P67" s="73"/>
      <c r="Q67" s="73"/>
      <c r="R67" s="220"/>
      <c r="S67" s="220"/>
      <c r="T67" s="220"/>
      <c r="U67" s="220"/>
      <c r="V67" s="220"/>
      <c r="W67" s="220"/>
      <c r="X67" s="220"/>
      <c r="Y67" s="73"/>
      <c r="Z67" s="73"/>
      <c r="AA67" s="73"/>
      <c r="AB67" s="73"/>
      <c r="AC67" s="73"/>
      <c r="AD67" s="73"/>
      <c r="AE67" s="73"/>
      <c r="AF67" s="73"/>
    </row>
    <row r="68" ht="15.75" customHeight="1">
      <c r="A68" s="173"/>
      <c r="B68" s="94"/>
      <c r="C68" s="94"/>
      <c r="D68" s="94"/>
      <c r="E68" s="94"/>
      <c r="F68" s="101"/>
      <c r="G68" s="101"/>
      <c r="H68" s="101"/>
      <c r="I68" s="101"/>
      <c r="J68" s="189">
        <f t="shared" si="11"/>
        <v>0</v>
      </c>
      <c r="K68" s="174"/>
      <c r="L68" s="162"/>
      <c r="M68" s="163"/>
      <c r="N68" s="101"/>
      <c r="O68" s="137">
        <f t="shared" si="3"/>
        <v>0</v>
      </c>
      <c r="P68" s="73"/>
      <c r="Q68" s="73"/>
      <c r="R68" s="220"/>
      <c r="S68" s="220"/>
      <c r="T68" s="220"/>
      <c r="U68" s="220"/>
      <c r="V68" s="220"/>
      <c r="W68" s="220"/>
      <c r="X68" s="220"/>
      <c r="Y68" s="73"/>
      <c r="Z68" s="73"/>
      <c r="AA68" s="73"/>
      <c r="AB68" s="73"/>
      <c r="AC68" s="73"/>
      <c r="AD68" s="73"/>
      <c r="AE68" s="73"/>
      <c r="AF68" s="73"/>
    </row>
    <row r="69" ht="15.75" customHeight="1">
      <c r="A69" s="120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220"/>
      <c r="S69" s="220"/>
      <c r="T69" s="220"/>
      <c r="U69" s="220"/>
      <c r="V69" s="220"/>
      <c r="W69" s="220"/>
      <c r="X69" s="220"/>
      <c r="Y69" s="73"/>
      <c r="Z69" s="73"/>
      <c r="AA69" s="73"/>
      <c r="AB69" s="73"/>
      <c r="AC69" s="73"/>
      <c r="AD69" s="73"/>
      <c r="AE69" s="73"/>
      <c r="AF69" s="73"/>
    </row>
    <row r="70" ht="15.75" customHeight="1">
      <c r="A70" s="120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220"/>
      <c r="S70" s="220"/>
      <c r="T70" s="220"/>
      <c r="U70" s="220"/>
      <c r="V70" s="220"/>
      <c r="W70" s="220"/>
      <c r="X70" s="220"/>
      <c r="Y70" s="73"/>
      <c r="Z70" s="73"/>
      <c r="AA70" s="73"/>
      <c r="AB70" s="73"/>
      <c r="AC70" s="73"/>
      <c r="AD70" s="73"/>
      <c r="AE70" s="73"/>
      <c r="AF70" s="73"/>
    </row>
    <row r="71" ht="15.75" customHeight="1">
      <c r="A71" s="120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220"/>
      <c r="S71" s="220"/>
      <c r="T71" s="220"/>
      <c r="U71" s="220"/>
      <c r="V71" s="220"/>
      <c r="W71" s="220"/>
      <c r="X71" s="220"/>
      <c r="Y71" s="73"/>
      <c r="Z71" s="73"/>
      <c r="AA71" s="73"/>
      <c r="AB71" s="73"/>
      <c r="AC71" s="73"/>
      <c r="AD71" s="73"/>
      <c r="AE71" s="73"/>
      <c r="AF71" s="73"/>
    </row>
    <row r="72" ht="15.75" customHeight="1">
      <c r="A72" s="120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220"/>
      <c r="S72" s="220"/>
      <c r="T72" s="220"/>
      <c r="U72" s="220"/>
      <c r="V72" s="220"/>
      <c r="W72" s="220"/>
      <c r="X72" s="220"/>
      <c r="Y72" s="73"/>
      <c r="Z72" s="73"/>
      <c r="AA72" s="73"/>
      <c r="AB72" s="73"/>
      <c r="AC72" s="73"/>
      <c r="AD72" s="73"/>
      <c r="AE72" s="73"/>
      <c r="AF72" s="73"/>
    </row>
    <row r="73" ht="15.75" customHeight="1">
      <c r="A73" s="120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220"/>
      <c r="S73" s="220"/>
      <c r="T73" s="220"/>
      <c r="U73" s="220"/>
      <c r="V73" s="220"/>
      <c r="W73" s="220"/>
      <c r="X73" s="220"/>
      <c r="Y73" s="73"/>
      <c r="Z73" s="73"/>
      <c r="AA73" s="73"/>
      <c r="AB73" s="73"/>
      <c r="AC73" s="73"/>
      <c r="AD73" s="73"/>
      <c r="AE73" s="73"/>
      <c r="AF73" s="73"/>
    </row>
    <row r="74" ht="15.75" customHeight="1">
      <c r="A74" s="120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220"/>
      <c r="S74" s="220"/>
      <c r="T74" s="220"/>
      <c r="U74" s="220"/>
      <c r="V74" s="220"/>
      <c r="W74" s="220"/>
      <c r="X74" s="220"/>
      <c r="Y74" s="73"/>
      <c r="Z74" s="73"/>
      <c r="AA74" s="73"/>
      <c r="AB74" s="73"/>
      <c r="AC74" s="73"/>
      <c r="AD74" s="73"/>
      <c r="AE74" s="73"/>
      <c r="AF74" s="73"/>
    </row>
    <row r="75" ht="15.75" customHeight="1">
      <c r="A75" s="120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220"/>
      <c r="S75" s="220"/>
      <c r="T75" s="220"/>
      <c r="U75" s="220"/>
      <c r="V75" s="220"/>
      <c r="W75" s="220"/>
      <c r="X75" s="220"/>
      <c r="Y75" s="73"/>
      <c r="Z75" s="73"/>
      <c r="AA75" s="73"/>
      <c r="AB75" s="73"/>
      <c r="AC75" s="73"/>
      <c r="AD75" s="73"/>
      <c r="AE75" s="73"/>
      <c r="AF75" s="73"/>
    </row>
    <row r="76" ht="15.75" customHeight="1">
      <c r="A76" s="120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220"/>
      <c r="S76" s="220"/>
      <c r="T76" s="220"/>
      <c r="U76" s="220"/>
      <c r="V76" s="220"/>
      <c r="W76" s="220"/>
      <c r="X76" s="220"/>
      <c r="Y76" s="73"/>
      <c r="Z76" s="73"/>
      <c r="AA76" s="73"/>
      <c r="AB76" s="73"/>
      <c r="AC76" s="73"/>
      <c r="AD76" s="73"/>
      <c r="AE76" s="73"/>
      <c r="AF76" s="73"/>
    </row>
    <row r="77" ht="15.75" customHeight="1">
      <c r="A77" s="120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220"/>
      <c r="S77" s="220"/>
      <c r="T77" s="220"/>
      <c r="U77" s="220"/>
      <c r="V77" s="220"/>
      <c r="W77" s="220"/>
      <c r="X77" s="220"/>
      <c r="Y77" s="73"/>
      <c r="Z77" s="73"/>
      <c r="AA77" s="73"/>
      <c r="AB77" s="73"/>
      <c r="AC77" s="73"/>
      <c r="AD77" s="73"/>
      <c r="AE77" s="73"/>
      <c r="AF77" s="73"/>
    </row>
    <row r="78" ht="15.75" customHeight="1">
      <c r="A78" s="120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220"/>
      <c r="S78" s="220"/>
      <c r="T78" s="220"/>
      <c r="U78" s="220"/>
      <c r="V78" s="220"/>
      <c r="W78" s="220"/>
      <c r="X78" s="220"/>
      <c r="Y78" s="73"/>
      <c r="Z78" s="73"/>
      <c r="AA78" s="73"/>
      <c r="AB78" s="73"/>
      <c r="AC78" s="73"/>
      <c r="AD78" s="73"/>
      <c r="AE78" s="73"/>
      <c r="AF78" s="73"/>
    </row>
    <row r="79" ht="15.75" customHeight="1">
      <c r="A79" s="120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220"/>
      <c r="S79" s="220"/>
      <c r="T79" s="220"/>
      <c r="U79" s="220"/>
      <c r="V79" s="220"/>
      <c r="W79" s="220"/>
      <c r="X79" s="220"/>
      <c r="Y79" s="73"/>
      <c r="Z79" s="73"/>
      <c r="AA79" s="73"/>
      <c r="AB79" s="73"/>
      <c r="AC79" s="73"/>
      <c r="AD79" s="73"/>
      <c r="AE79" s="73"/>
      <c r="AF79" s="73"/>
    </row>
    <row r="80" ht="15.75" customHeight="1">
      <c r="A80" s="120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220"/>
      <c r="S80" s="220"/>
      <c r="T80" s="220"/>
      <c r="U80" s="220"/>
      <c r="V80" s="220"/>
      <c r="W80" s="220"/>
      <c r="X80" s="220"/>
      <c r="Y80" s="73"/>
      <c r="Z80" s="73"/>
      <c r="AA80" s="73"/>
      <c r="AB80" s="73"/>
      <c r="AC80" s="73"/>
      <c r="AD80" s="73"/>
      <c r="AE80" s="73"/>
      <c r="AF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</row>
    <row r="221" ht="15.75" customHeight="1">
      <c r="A221" s="120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</row>
    <row r="222" ht="15.75" customHeight="1">
      <c r="A222" s="120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</row>
    <row r="223" ht="15.75" customHeight="1">
      <c r="A223" s="120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</row>
    <row r="224" ht="15.75" customHeight="1">
      <c r="A224" s="120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</row>
    <row r="225" ht="15.75" customHeight="1">
      <c r="A225" s="120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</row>
    <row r="226" ht="15.75" customHeight="1">
      <c r="A226" s="120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</row>
    <row r="227" ht="15.75" customHeight="1">
      <c r="A227" s="120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</row>
    <row r="228" ht="15.75" customHeight="1">
      <c r="A228" s="120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</row>
    <row r="229" ht="15.75" customHeight="1">
      <c r="A229" s="120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</row>
    <row r="230" ht="15.75" customHeight="1">
      <c r="A230" s="120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</row>
    <row r="231" ht="15.75" customHeight="1">
      <c r="A231" s="120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</row>
    <row r="232" ht="15.75" customHeight="1">
      <c r="A232" s="120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</row>
    <row r="233" ht="15.75" customHeight="1">
      <c r="A233" s="120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</row>
    <row r="234" ht="15.75" customHeight="1">
      <c r="A234" s="120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</row>
    <row r="235" ht="15.75" customHeight="1">
      <c r="A235" s="120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</row>
    <row r="236" ht="15.75" customHeight="1">
      <c r="A236" s="120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</row>
    <row r="237" ht="15.75" customHeight="1">
      <c r="A237" s="120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</row>
    <row r="238" ht="15.75" customHeight="1">
      <c r="A238" s="120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</row>
    <row r="239" ht="15.75" customHeight="1">
      <c r="A239" s="120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</row>
    <row r="240" ht="15.75" customHeight="1">
      <c r="A240" s="120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</row>
    <row r="241" ht="15.75" customHeight="1">
      <c r="A241" s="120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</row>
    <row r="242" ht="15.75" customHeight="1">
      <c r="A242" s="120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</row>
    <row r="243" ht="15.75" customHeight="1">
      <c r="A243" s="120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</row>
    <row r="244" ht="15.75" customHeight="1">
      <c r="A244" s="120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</row>
    <row r="245" ht="15.75" customHeight="1">
      <c r="A245" s="120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</row>
    <row r="246" ht="15.75" customHeight="1">
      <c r="A246" s="120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</row>
    <row r="247" ht="15.75" customHeight="1">
      <c r="A247" s="120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</row>
    <row r="248" ht="15.75" customHeight="1">
      <c r="A248" s="120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</row>
    <row r="249" ht="15.75" customHeight="1">
      <c r="A249" s="120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</row>
    <row r="250" ht="15.75" customHeight="1">
      <c r="A250" s="120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</row>
    <row r="251" ht="15.75" customHeight="1">
      <c r="A251" s="120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</row>
    <row r="252" ht="15.75" customHeight="1">
      <c r="A252" s="120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</row>
    <row r="253" ht="15.75" customHeight="1">
      <c r="A253" s="120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</row>
    <row r="254" ht="15.75" customHeight="1">
      <c r="A254" s="120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</row>
    <row r="255" ht="15.75" customHeight="1">
      <c r="A255" s="120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</row>
    <row r="256" ht="15.75" customHeight="1">
      <c r="A256" s="120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</row>
    <row r="257" ht="15.75" customHeight="1">
      <c r="A257" s="120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</row>
    <row r="258" ht="15.75" customHeight="1">
      <c r="A258" s="120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</row>
    <row r="259" ht="15.75" customHeight="1">
      <c r="A259" s="120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</row>
    <row r="260" ht="15.75" customHeight="1">
      <c r="A260" s="120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</row>
    <row r="261" ht="15.75" customHeight="1">
      <c r="A261" s="120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</row>
    <row r="262" ht="15.75" customHeight="1">
      <c r="A262" s="120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</row>
    <row r="263" ht="15.75" customHeight="1">
      <c r="A263" s="120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</row>
    <row r="264" ht="15.75" customHeight="1">
      <c r="A264" s="120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</row>
    <row r="265" ht="15.75" customHeight="1">
      <c r="A265" s="120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</row>
    <row r="266" ht="15.75" customHeight="1">
      <c r="A266" s="120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</row>
    <row r="267" ht="15.75" customHeight="1">
      <c r="A267" s="120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</row>
    <row r="268" ht="15.75" customHeight="1">
      <c r="A268" s="120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A2"/>
    <mergeCell ref="B1:I1"/>
    <mergeCell ref="J1:K1"/>
    <mergeCell ref="L1:O1"/>
    <mergeCell ref="Q3:S4"/>
    <mergeCell ref="T3:T4"/>
    <mergeCell ref="U3:U4"/>
    <mergeCell ref="V3:V4"/>
    <mergeCell ref="W3:W4"/>
    <mergeCell ref="X3:X4"/>
    <mergeCell ref="Y3:Y4"/>
    <mergeCell ref="Q5:S5"/>
    <mergeCell ref="Q6:S6"/>
    <mergeCell ref="Q7:S7"/>
    <mergeCell ref="Q15:S15"/>
    <mergeCell ref="Q16:S16"/>
    <mergeCell ref="Q17:S17"/>
    <mergeCell ref="K25:K29"/>
    <mergeCell ref="K32:K34"/>
    <mergeCell ref="Q8:S8"/>
    <mergeCell ref="Q9:S9"/>
    <mergeCell ref="Q10:S10"/>
    <mergeCell ref="Q11:S11"/>
    <mergeCell ref="Q12:S12"/>
    <mergeCell ref="Q13:S13"/>
    <mergeCell ref="Q14:S14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F1" s="73"/>
      <c r="G1" s="73"/>
      <c r="H1" s="73"/>
      <c r="I1" s="73"/>
      <c r="J1" s="73"/>
      <c r="K1" s="73"/>
      <c r="L1" s="73"/>
    </row>
    <row r="2" ht="15.75" customHeight="1">
      <c r="F2" s="175" t="s">
        <v>221</v>
      </c>
      <c r="G2" s="175" t="s">
        <v>279</v>
      </c>
      <c r="H2" s="73"/>
      <c r="I2" s="73"/>
      <c r="J2" s="73"/>
      <c r="K2" s="73"/>
      <c r="L2" s="73"/>
    </row>
    <row r="3" ht="15.75" customHeight="1">
      <c r="A3" s="228" t="s">
        <v>119</v>
      </c>
      <c r="B3" s="229" t="s">
        <v>120</v>
      </c>
      <c r="C3" s="230" t="s">
        <v>121</v>
      </c>
      <c r="D3" s="231"/>
      <c r="F3" s="73"/>
      <c r="G3" s="73"/>
      <c r="H3" s="73"/>
      <c r="I3" s="232" t="s">
        <v>280</v>
      </c>
      <c r="J3" s="73"/>
      <c r="K3" s="73"/>
      <c r="L3" s="73"/>
    </row>
    <row r="4" ht="15.75" customHeight="1">
      <c r="A4" s="233" t="s">
        <v>119</v>
      </c>
      <c r="B4" s="234" t="str">
        <f>G7</f>
        <v>Coca Cola 600ml x12</v>
      </c>
      <c r="C4" s="234" t="s">
        <v>128</v>
      </c>
      <c r="D4" s="91" t="s">
        <v>127</v>
      </c>
      <c r="F4" s="73"/>
      <c r="G4" s="73"/>
      <c r="H4" s="176" t="s">
        <v>281</v>
      </c>
      <c r="I4" s="235"/>
      <c r="J4" s="176"/>
      <c r="K4" s="176" t="str">
        <f>H4</f>
        <v>Fecha de estos precios: 15/3/24</v>
      </c>
      <c r="L4" s="73"/>
    </row>
    <row r="5" ht="15.75" customHeight="1">
      <c r="A5" s="236"/>
      <c r="B5" s="101"/>
      <c r="C5" s="101"/>
      <c r="D5" s="237">
        <f t="shared" ref="D5:D23" si="1">B5*$I$7</f>
        <v>0</v>
      </c>
      <c r="F5" s="73"/>
      <c r="G5" s="238" t="s">
        <v>94</v>
      </c>
      <c r="H5" s="239" t="s">
        <v>95</v>
      </c>
      <c r="I5" s="239" t="s">
        <v>282</v>
      </c>
      <c r="J5" s="240" t="s">
        <v>283</v>
      </c>
      <c r="K5" s="240" t="s">
        <v>201</v>
      </c>
      <c r="L5" s="73"/>
    </row>
    <row r="6" ht="15.75" customHeight="1">
      <c r="A6" s="236"/>
      <c r="B6" s="101"/>
      <c r="C6" s="101"/>
      <c r="D6" s="237">
        <f t="shared" si="1"/>
        <v>0</v>
      </c>
      <c r="F6" s="73"/>
      <c r="G6" s="241"/>
      <c r="H6" s="199"/>
      <c r="I6" s="199"/>
      <c r="J6" s="199"/>
      <c r="K6" s="199"/>
      <c r="L6" s="73"/>
    </row>
    <row r="7" ht="15.75" customHeight="1">
      <c r="A7" s="242"/>
      <c r="B7" s="101"/>
      <c r="C7" s="101"/>
      <c r="D7" s="237">
        <f t="shared" si="1"/>
        <v>0</v>
      </c>
      <c r="F7" s="73"/>
      <c r="G7" s="243" t="s">
        <v>284</v>
      </c>
      <c r="H7" s="201">
        <v>700.0</v>
      </c>
      <c r="I7" s="201">
        <f t="shared" ref="I7:J7" si="2">H7/12</f>
        <v>58.33333333</v>
      </c>
      <c r="J7" s="73">
        <f t="shared" si="2"/>
        <v>4.861111111</v>
      </c>
      <c r="K7" s="73">
        <f>I7*1.3</f>
        <v>75.83333333</v>
      </c>
      <c r="L7" s="73"/>
    </row>
    <row r="8" ht="15.75" customHeight="1">
      <c r="A8" s="244"/>
      <c r="B8" s="101"/>
      <c r="C8" s="101"/>
      <c r="D8" s="237">
        <f t="shared" si="1"/>
        <v>0</v>
      </c>
      <c r="F8" s="73"/>
      <c r="G8" s="73"/>
      <c r="H8" s="73"/>
      <c r="I8" s="73"/>
      <c r="J8" s="73"/>
      <c r="K8" s="73"/>
      <c r="L8" s="73"/>
    </row>
    <row r="9" ht="15.75" customHeight="1">
      <c r="A9" s="236"/>
      <c r="B9" s="101"/>
      <c r="C9" s="101"/>
      <c r="D9" s="237">
        <f t="shared" si="1"/>
        <v>0</v>
      </c>
      <c r="J9" s="73"/>
      <c r="K9" s="73"/>
      <c r="L9" s="73"/>
    </row>
    <row r="10" ht="15.75" customHeight="1">
      <c r="A10" s="236"/>
      <c r="B10" s="101"/>
      <c r="C10" s="101"/>
      <c r="D10" s="237">
        <f t="shared" si="1"/>
        <v>0</v>
      </c>
      <c r="J10" s="73"/>
      <c r="K10" s="73"/>
      <c r="L10" s="73"/>
    </row>
    <row r="11" ht="15.75" customHeight="1">
      <c r="A11" s="236"/>
      <c r="B11" s="101"/>
      <c r="C11" s="101"/>
      <c r="D11" s="237">
        <f t="shared" si="1"/>
        <v>0</v>
      </c>
      <c r="J11" s="73"/>
      <c r="K11" s="73"/>
      <c r="L11" s="73"/>
    </row>
    <row r="12" ht="15.75" customHeight="1">
      <c r="A12" s="242"/>
      <c r="B12" s="101"/>
      <c r="C12" s="101"/>
      <c r="D12" s="237">
        <f t="shared" si="1"/>
        <v>0</v>
      </c>
      <c r="J12" s="73"/>
      <c r="K12" s="73"/>
      <c r="L12" s="73"/>
    </row>
    <row r="13" ht="15.75" customHeight="1">
      <c r="A13" s="245"/>
      <c r="B13" s="101"/>
      <c r="C13" s="101"/>
      <c r="D13" s="237">
        <f t="shared" si="1"/>
        <v>0</v>
      </c>
      <c r="J13" s="73"/>
      <c r="K13" s="73"/>
      <c r="L13" s="73"/>
    </row>
    <row r="14" ht="15.75" customHeight="1">
      <c r="A14" s="246"/>
      <c r="B14" s="101"/>
      <c r="C14" s="101"/>
      <c r="D14" s="237">
        <f t="shared" si="1"/>
        <v>0</v>
      </c>
      <c r="J14" s="73"/>
      <c r="K14" s="73"/>
      <c r="L14" s="73"/>
    </row>
    <row r="15" ht="15.75" customHeight="1">
      <c r="A15" s="247"/>
      <c r="B15" s="101"/>
      <c r="C15" s="101"/>
      <c r="D15" s="237">
        <f t="shared" si="1"/>
        <v>0</v>
      </c>
      <c r="J15" s="73"/>
      <c r="K15" s="73"/>
      <c r="L15" s="73"/>
    </row>
    <row r="16" ht="15.75" customHeight="1">
      <c r="A16" s="236"/>
      <c r="B16" s="101"/>
      <c r="C16" s="101"/>
      <c r="D16" s="237">
        <f t="shared" si="1"/>
        <v>0</v>
      </c>
      <c r="J16" s="73"/>
      <c r="K16" s="73"/>
      <c r="L16" s="73"/>
    </row>
    <row r="17" ht="15.75" customHeight="1">
      <c r="A17" s="245"/>
      <c r="B17" s="101"/>
      <c r="C17" s="101"/>
      <c r="D17" s="237">
        <f t="shared" si="1"/>
        <v>0</v>
      </c>
      <c r="J17" s="73"/>
      <c r="K17" s="73"/>
      <c r="L17" s="73"/>
    </row>
    <row r="18" ht="15.75" customHeight="1">
      <c r="A18" s="236"/>
      <c r="B18" s="101"/>
      <c r="C18" s="101"/>
      <c r="D18" s="237">
        <f t="shared" si="1"/>
        <v>0</v>
      </c>
      <c r="J18" s="73"/>
      <c r="K18" s="73"/>
      <c r="L18" s="73"/>
    </row>
    <row r="19" ht="15.75" customHeight="1">
      <c r="A19" s="236"/>
      <c r="B19" s="101"/>
      <c r="C19" s="101"/>
      <c r="D19" s="237">
        <f t="shared" si="1"/>
        <v>0</v>
      </c>
      <c r="J19" s="73"/>
      <c r="K19" s="73"/>
      <c r="L19" s="73"/>
    </row>
    <row r="20" ht="15.75" customHeight="1">
      <c r="A20" s="242"/>
      <c r="B20" s="101"/>
      <c r="C20" s="248"/>
      <c r="D20" s="237">
        <f t="shared" si="1"/>
        <v>0</v>
      </c>
      <c r="J20" s="73"/>
      <c r="K20" s="73"/>
      <c r="L20" s="73"/>
    </row>
    <row r="21" ht="15.75" customHeight="1">
      <c r="A21" s="245"/>
      <c r="B21" s="101"/>
      <c r="C21" s="248"/>
      <c r="D21" s="237">
        <f t="shared" si="1"/>
        <v>0</v>
      </c>
      <c r="J21" s="73"/>
      <c r="K21" s="73"/>
      <c r="L21" s="73"/>
    </row>
    <row r="22" ht="15.75" customHeight="1">
      <c r="A22" s="245"/>
      <c r="B22" s="101"/>
      <c r="C22" s="101"/>
      <c r="D22" s="237">
        <f t="shared" si="1"/>
        <v>0</v>
      </c>
      <c r="J22" s="73"/>
      <c r="K22" s="73"/>
      <c r="L22" s="73"/>
    </row>
    <row r="23" ht="15.75" customHeight="1">
      <c r="A23" s="249"/>
      <c r="B23" s="250"/>
      <c r="C23" s="250"/>
      <c r="D23" s="251">
        <f t="shared" si="1"/>
        <v>0</v>
      </c>
      <c r="J23" s="73"/>
      <c r="K23" s="73"/>
      <c r="L23" s="73"/>
    </row>
    <row r="24" ht="15.75" customHeight="1">
      <c r="J24" s="73"/>
      <c r="K24" s="73"/>
      <c r="L24" s="73"/>
    </row>
    <row r="25" ht="15.75" customHeight="1">
      <c r="J25" s="73"/>
      <c r="K25" s="73"/>
      <c r="L25" s="73"/>
    </row>
    <row r="26" ht="15.75" customHeight="1">
      <c r="J26" s="73"/>
      <c r="K26" s="73"/>
      <c r="L26" s="73"/>
    </row>
    <row r="27" ht="15.75" customHeight="1">
      <c r="J27" s="73"/>
      <c r="K27" s="73"/>
      <c r="L27" s="73"/>
    </row>
    <row r="28" ht="15.75" customHeight="1">
      <c r="J28" s="73"/>
      <c r="K28" s="73"/>
      <c r="L28" s="73"/>
    </row>
    <row r="29" ht="15.75" customHeight="1">
      <c r="J29" s="73"/>
      <c r="K29" s="73"/>
      <c r="L29" s="7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3:D3"/>
    <mergeCell ref="G5:G6"/>
    <mergeCell ref="H5:H6"/>
    <mergeCell ref="I5:I6"/>
    <mergeCell ref="J5:J6"/>
    <mergeCell ref="K5:K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5.63"/>
  </cols>
  <sheetData>
    <row r="1" ht="15.75" customHeight="1">
      <c r="A1" s="252" t="s">
        <v>174</v>
      </c>
      <c r="B1" s="253" t="s">
        <v>120</v>
      </c>
      <c r="C1" s="254"/>
      <c r="D1" s="255" t="s">
        <v>121</v>
      </c>
      <c r="E1" s="254"/>
      <c r="F1" s="73"/>
      <c r="G1" s="73"/>
      <c r="H1" s="86" t="s">
        <v>285</v>
      </c>
      <c r="I1" s="86" t="s">
        <v>286</v>
      </c>
      <c r="J1" s="73"/>
      <c r="K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 ht="15.75" customHeight="1">
      <c r="A2" s="256"/>
      <c r="B2" s="252" t="s">
        <v>287</v>
      </c>
      <c r="C2" s="252" t="s">
        <v>288</v>
      </c>
      <c r="D2" s="252" t="s">
        <v>289</v>
      </c>
      <c r="E2" s="252" t="s">
        <v>121</v>
      </c>
      <c r="F2" s="73"/>
      <c r="G2" s="30" t="s">
        <v>140</v>
      </c>
      <c r="H2" s="96">
        <v>66.0</v>
      </c>
      <c r="I2" s="97">
        <v>362.0</v>
      </c>
      <c r="J2" s="73"/>
      <c r="K2" s="175" t="s">
        <v>221</v>
      </c>
      <c r="L2" s="175" t="s">
        <v>290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</row>
    <row r="3" ht="15.75" customHeight="1">
      <c r="A3" s="248">
        <v>45707.0</v>
      </c>
      <c r="B3" s="101">
        <v>20.0</v>
      </c>
      <c r="C3" s="101"/>
      <c r="D3" s="101">
        <f t="shared" ref="D3:D34" si="2">B3*$H$2+C3*$I$2</f>
        <v>1320</v>
      </c>
      <c r="E3" s="101"/>
      <c r="F3" s="73"/>
      <c r="G3" s="30" t="s">
        <v>142</v>
      </c>
      <c r="H3" s="103">
        <f t="shared" ref="H3:I3" si="1">H2*1.3</f>
        <v>85.8</v>
      </c>
      <c r="I3" s="104">
        <f t="shared" si="1"/>
        <v>470.6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</row>
    <row r="4" ht="15.75" customHeight="1">
      <c r="A4" s="257">
        <v>45721.0</v>
      </c>
      <c r="B4" s="101">
        <v>20.0</v>
      </c>
      <c r="C4" s="101"/>
      <c r="D4" s="101">
        <f t="shared" si="2"/>
        <v>1320</v>
      </c>
      <c r="E4" s="101"/>
      <c r="F4" s="73"/>
      <c r="G4" s="30" t="s">
        <v>143</v>
      </c>
      <c r="H4" s="106"/>
      <c r="I4" s="107"/>
      <c r="J4" s="73"/>
      <c r="K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</row>
    <row r="5" ht="15.75" customHeight="1">
      <c r="A5" s="101"/>
      <c r="B5" s="101"/>
      <c r="C5" s="101"/>
      <c r="D5" s="101">
        <f t="shared" si="2"/>
        <v>0</v>
      </c>
      <c r="E5" s="101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ht="15.75" customHeight="1">
      <c r="A6" s="101"/>
      <c r="B6" s="101"/>
      <c r="C6" s="101"/>
      <c r="D6" s="101">
        <f t="shared" si="2"/>
        <v>0</v>
      </c>
      <c r="E6" s="101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ht="15.75" customHeight="1">
      <c r="A7" s="101"/>
      <c r="B7" s="101"/>
      <c r="C7" s="101"/>
      <c r="D7" s="101">
        <f t="shared" si="2"/>
        <v>0</v>
      </c>
      <c r="E7" s="101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ht="15.75" customHeight="1">
      <c r="A8" s="101"/>
      <c r="B8" s="101"/>
      <c r="C8" s="101"/>
      <c r="D8" s="101">
        <f t="shared" si="2"/>
        <v>0</v>
      </c>
      <c r="E8" s="101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</row>
    <row r="9" ht="15.75" customHeight="1">
      <c r="A9" s="101"/>
      <c r="B9" s="101"/>
      <c r="C9" s="101"/>
      <c r="D9" s="101">
        <f t="shared" si="2"/>
        <v>0</v>
      </c>
      <c r="E9" s="101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</row>
    <row r="10" ht="15.75" customHeight="1">
      <c r="A10" s="101"/>
      <c r="B10" s="101"/>
      <c r="C10" s="101"/>
      <c r="D10" s="101">
        <f t="shared" si="2"/>
        <v>0</v>
      </c>
      <c r="E10" s="101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</row>
    <row r="11" ht="15.75" customHeight="1">
      <c r="A11" s="101"/>
      <c r="B11" s="101"/>
      <c r="C11" s="101"/>
      <c r="D11" s="101">
        <f t="shared" si="2"/>
        <v>0</v>
      </c>
      <c r="E11" s="101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</row>
    <row r="12" ht="15.75" customHeight="1">
      <c r="A12" s="101"/>
      <c r="B12" s="101"/>
      <c r="C12" s="101"/>
      <c r="D12" s="101">
        <f t="shared" si="2"/>
        <v>0</v>
      </c>
      <c r="E12" s="101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</row>
    <row r="13" ht="15.75" customHeight="1">
      <c r="A13" s="101"/>
      <c r="B13" s="101"/>
      <c r="C13" s="101"/>
      <c r="D13" s="101">
        <f t="shared" si="2"/>
        <v>0</v>
      </c>
      <c r="E13" s="101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</row>
    <row r="14" ht="15.75" customHeight="1">
      <c r="A14" s="101"/>
      <c r="B14" s="101"/>
      <c r="C14" s="101"/>
      <c r="D14" s="101">
        <f t="shared" si="2"/>
        <v>0</v>
      </c>
      <c r="E14" s="101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</row>
    <row r="15" ht="15.75" customHeight="1">
      <c r="A15" s="101"/>
      <c r="B15" s="101"/>
      <c r="C15" s="101"/>
      <c r="D15" s="101">
        <f t="shared" si="2"/>
        <v>0</v>
      </c>
      <c r="E15" s="101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</row>
    <row r="16" ht="15.75" customHeight="1">
      <c r="A16" s="101"/>
      <c r="B16" s="101"/>
      <c r="C16" s="101"/>
      <c r="D16" s="101">
        <f t="shared" si="2"/>
        <v>0</v>
      </c>
      <c r="E16" s="101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</row>
    <row r="17" ht="15.75" customHeight="1">
      <c r="A17" s="101"/>
      <c r="B17" s="101"/>
      <c r="C17" s="101"/>
      <c r="D17" s="101">
        <f t="shared" si="2"/>
        <v>0</v>
      </c>
      <c r="E17" s="101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</row>
    <row r="18" ht="15.75" customHeight="1">
      <c r="A18" s="101"/>
      <c r="B18" s="101"/>
      <c r="C18" s="101"/>
      <c r="D18" s="101">
        <f t="shared" si="2"/>
        <v>0</v>
      </c>
      <c r="E18" s="101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ht="15.75" customHeight="1">
      <c r="A19" s="101"/>
      <c r="B19" s="101"/>
      <c r="C19" s="101"/>
      <c r="D19" s="101">
        <f t="shared" si="2"/>
        <v>0</v>
      </c>
      <c r="E19" s="101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</row>
    <row r="20" ht="15.75" customHeight="1">
      <c r="A20" s="101"/>
      <c r="B20" s="101"/>
      <c r="C20" s="101"/>
      <c r="D20" s="101">
        <f t="shared" si="2"/>
        <v>0</v>
      </c>
      <c r="E20" s="101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ht="15.75" customHeight="1">
      <c r="A21" s="101"/>
      <c r="B21" s="101"/>
      <c r="C21" s="101"/>
      <c r="D21" s="101">
        <f t="shared" si="2"/>
        <v>0</v>
      </c>
      <c r="E21" s="101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</row>
    <row r="22" ht="15.75" customHeight="1">
      <c r="A22" s="101"/>
      <c r="B22" s="101"/>
      <c r="C22" s="101"/>
      <c r="D22" s="101">
        <f t="shared" si="2"/>
        <v>0</v>
      </c>
      <c r="E22" s="101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</row>
    <row r="23" ht="15.75" customHeight="1">
      <c r="A23" s="101"/>
      <c r="B23" s="101"/>
      <c r="C23" s="101"/>
      <c r="D23" s="101">
        <f t="shared" si="2"/>
        <v>0</v>
      </c>
      <c r="E23" s="101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 ht="15.75" customHeight="1">
      <c r="A24" s="101"/>
      <c r="B24" s="101"/>
      <c r="C24" s="101"/>
      <c r="D24" s="101">
        <f t="shared" si="2"/>
        <v>0</v>
      </c>
      <c r="E24" s="101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</row>
    <row r="25" ht="15.75" customHeight="1">
      <c r="A25" s="101"/>
      <c r="B25" s="101"/>
      <c r="C25" s="101"/>
      <c r="D25" s="101">
        <f t="shared" si="2"/>
        <v>0</v>
      </c>
      <c r="E25" s="101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</row>
    <row r="26" ht="15.75" customHeight="1">
      <c r="A26" s="101"/>
      <c r="B26" s="101"/>
      <c r="C26" s="101"/>
      <c r="D26" s="101">
        <f t="shared" si="2"/>
        <v>0</v>
      </c>
      <c r="E26" s="101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ht="15.75" customHeight="1">
      <c r="A27" s="101"/>
      <c r="B27" s="101"/>
      <c r="C27" s="101"/>
      <c r="D27" s="101">
        <f t="shared" si="2"/>
        <v>0</v>
      </c>
      <c r="E27" s="101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ht="15.75" customHeight="1">
      <c r="A28" s="101"/>
      <c r="B28" s="101"/>
      <c r="C28" s="101"/>
      <c r="D28" s="101">
        <f t="shared" si="2"/>
        <v>0</v>
      </c>
      <c r="E28" s="101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ht="15.75" customHeight="1">
      <c r="A29" s="101"/>
      <c r="B29" s="101"/>
      <c r="C29" s="101"/>
      <c r="D29" s="101">
        <f t="shared" si="2"/>
        <v>0</v>
      </c>
      <c r="E29" s="101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</row>
    <row r="30" ht="15.75" customHeight="1">
      <c r="A30" s="101"/>
      <c r="B30" s="101"/>
      <c r="C30" s="101"/>
      <c r="D30" s="101">
        <f t="shared" si="2"/>
        <v>0</v>
      </c>
      <c r="E30" s="101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  <row r="31" ht="15.75" customHeight="1">
      <c r="A31" s="101"/>
      <c r="B31" s="101"/>
      <c r="C31" s="101"/>
      <c r="D31" s="101">
        <f t="shared" si="2"/>
        <v>0</v>
      </c>
      <c r="E31" s="101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</row>
    <row r="32" ht="15.75" customHeight="1">
      <c r="A32" s="101"/>
      <c r="B32" s="101"/>
      <c r="C32" s="101"/>
      <c r="D32" s="101">
        <f t="shared" si="2"/>
        <v>0</v>
      </c>
      <c r="E32" s="101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</row>
    <row r="33" ht="15.75" customHeight="1">
      <c r="A33" s="101"/>
      <c r="B33" s="101"/>
      <c r="C33" s="101"/>
      <c r="D33" s="101">
        <f t="shared" si="2"/>
        <v>0</v>
      </c>
      <c r="E33" s="101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</row>
    <row r="34" ht="15.75" customHeight="1">
      <c r="A34" s="101"/>
      <c r="B34" s="101"/>
      <c r="C34" s="101"/>
      <c r="D34" s="101">
        <f t="shared" si="2"/>
        <v>0</v>
      </c>
      <c r="E34" s="101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</row>
    <row r="35" ht="15.75" customHeight="1">
      <c r="A35" s="101"/>
      <c r="B35" s="101"/>
      <c r="C35" s="101"/>
      <c r="D35" s="101"/>
      <c r="E35" s="101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</row>
    <row r="36" ht="15.75" customHeight="1">
      <c r="A36" s="101"/>
      <c r="B36" s="101"/>
      <c r="C36" s="101"/>
      <c r="D36" s="101"/>
      <c r="E36" s="101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</row>
    <row r="37" ht="15.75" customHeight="1">
      <c r="A37" s="101"/>
      <c r="B37" s="101"/>
      <c r="C37" s="101"/>
      <c r="D37" s="101"/>
      <c r="E37" s="101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</row>
    <row r="38" ht="15.75" customHeight="1">
      <c r="A38" s="101"/>
      <c r="B38" s="101"/>
      <c r="C38" s="101"/>
      <c r="D38" s="101"/>
      <c r="E38" s="101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</row>
    <row r="39" ht="15.75" customHeight="1">
      <c r="A39" s="101"/>
      <c r="B39" s="101"/>
      <c r="C39" s="101"/>
      <c r="D39" s="101"/>
      <c r="E39" s="101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</row>
    <row r="40" ht="15.75" customHeight="1">
      <c r="A40" s="101"/>
      <c r="B40" s="101"/>
      <c r="C40" s="101"/>
      <c r="D40" s="101"/>
      <c r="E40" s="101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</row>
    <row r="41" ht="15.75" customHeight="1">
      <c r="A41" s="101"/>
      <c r="B41" s="101"/>
      <c r="C41" s="101"/>
      <c r="D41" s="101"/>
      <c r="E41" s="101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ht="15.75" customHeight="1">
      <c r="A42" s="101"/>
      <c r="B42" s="101"/>
      <c r="C42" s="101"/>
      <c r="D42" s="101"/>
      <c r="E42" s="101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</row>
    <row r="43" ht="15.75" customHeight="1">
      <c r="A43" s="101"/>
      <c r="B43" s="101"/>
      <c r="C43" s="101"/>
      <c r="D43" s="101"/>
      <c r="E43" s="101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</row>
    <row r="44" ht="15.75" customHeight="1">
      <c r="A44" s="101"/>
      <c r="B44" s="101"/>
      <c r="C44" s="101"/>
      <c r="D44" s="101"/>
      <c r="E44" s="101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</row>
    <row r="45" ht="15.75" customHeight="1">
      <c r="A45" s="101"/>
      <c r="B45" s="101"/>
      <c r="C45" s="101"/>
      <c r="D45" s="101"/>
      <c r="E45" s="101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</row>
    <row r="46" ht="15.75" customHeight="1">
      <c r="A46" s="101"/>
      <c r="B46" s="101"/>
      <c r="C46" s="101"/>
      <c r="D46" s="101"/>
      <c r="E46" s="101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</row>
    <row r="47" ht="15.75" customHeight="1">
      <c r="A47" s="101"/>
      <c r="B47" s="101"/>
      <c r="C47" s="101"/>
      <c r="D47" s="101"/>
      <c r="E47" s="101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</row>
    <row r="48" ht="15.75" customHeight="1">
      <c r="A48" s="101"/>
      <c r="B48" s="101"/>
      <c r="C48" s="101"/>
      <c r="D48" s="101"/>
      <c r="E48" s="101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</row>
    <row r="49" ht="15.75" customHeight="1">
      <c r="A49" s="101"/>
      <c r="B49" s="101"/>
      <c r="C49" s="101"/>
      <c r="D49" s="101"/>
      <c r="E49" s="101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</row>
    <row r="50" ht="15.75" customHeight="1">
      <c r="A50" s="101"/>
      <c r="B50" s="101"/>
      <c r="C50" s="101"/>
      <c r="D50" s="101"/>
      <c r="E50" s="101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</row>
    <row r="51" ht="15.75" customHeight="1">
      <c r="A51" s="101"/>
      <c r="B51" s="101"/>
      <c r="C51" s="101"/>
      <c r="D51" s="101"/>
      <c r="E51" s="101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</row>
    <row r="52" ht="15.75" customHeight="1">
      <c r="A52" s="101"/>
      <c r="B52" s="101"/>
      <c r="C52" s="101"/>
      <c r="D52" s="101"/>
      <c r="E52" s="101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</row>
    <row r="53" ht="15.75" customHeight="1">
      <c r="A53" s="101"/>
      <c r="B53" s="101"/>
      <c r="C53" s="101"/>
      <c r="D53" s="101"/>
      <c r="E53" s="101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C1"/>
    <mergeCell ref="D1:E1"/>
    <mergeCell ref="L2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7" width="13.25"/>
    <col customWidth="1" min="10" max="10" width="3.5"/>
  </cols>
  <sheetData>
    <row r="1" ht="15.75" customHeight="1">
      <c r="A1" s="75" t="s">
        <v>174</v>
      </c>
      <c r="B1" s="68" t="s">
        <v>120</v>
      </c>
      <c r="C1" s="69"/>
      <c r="D1" s="69"/>
      <c r="E1" s="69"/>
      <c r="F1" s="69"/>
      <c r="G1" s="71"/>
      <c r="H1" s="70" t="s">
        <v>121</v>
      </c>
      <c r="I1" s="71"/>
      <c r="K1" s="73"/>
      <c r="L1" s="86" t="s">
        <v>291</v>
      </c>
    </row>
    <row r="2" ht="15.75" customHeight="1">
      <c r="A2" s="49"/>
      <c r="B2" s="158" t="s">
        <v>292</v>
      </c>
      <c r="C2" s="158" t="s">
        <v>293</v>
      </c>
      <c r="D2" s="158" t="s">
        <v>294</v>
      </c>
      <c r="E2" s="158" t="s">
        <v>295</v>
      </c>
      <c r="F2" s="158" t="s">
        <v>296</v>
      </c>
      <c r="G2" s="158" t="s">
        <v>297</v>
      </c>
      <c r="H2" s="258" t="s">
        <v>127</v>
      </c>
      <c r="I2" s="258" t="s">
        <v>298</v>
      </c>
      <c r="K2" s="30" t="s">
        <v>140</v>
      </c>
      <c r="L2" s="96">
        <v>66.0</v>
      </c>
      <c r="N2" s="259" t="s">
        <v>299</v>
      </c>
      <c r="O2" s="260" t="s">
        <v>300</v>
      </c>
      <c r="P2" s="261" t="s">
        <v>301</v>
      </c>
    </row>
    <row r="3" ht="15.75" customHeight="1">
      <c r="A3" s="262"/>
      <c r="B3" s="101"/>
      <c r="C3" s="101"/>
      <c r="D3" s="101"/>
      <c r="E3" s="101"/>
      <c r="F3" s="101"/>
      <c r="G3" s="101"/>
      <c r="H3" s="88">
        <f t="shared" ref="H3:H54" si="1">sum(B3:G3)*$L$2</f>
        <v>0</v>
      </c>
      <c r="I3" s="101"/>
      <c r="K3" s="30" t="s">
        <v>302</v>
      </c>
      <c r="L3" s="103">
        <f>L2*1.22</f>
        <v>80.52</v>
      </c>
    </row>
    <row r="4" ht="15.75" customHeight="1">
      <c r="A4" s="263"/>
      <c r="B4" s="101"/>
      <c r="C4" s="101"/>
      <c r="D4" s="101"/>
      <c r="E4" s="101"/>
      <c r="F4" s="101"/>
      <c r="G4" s="101"/>
      <c r="H4" s="88">
        <f t="shared" si="1"/>
        <v>0</v>
      </c>
      <c r="I4" s="101"/>
      <c r="K4" s="30" t="s">
        <v>303</v>
      </c>
      <c r="L4" s="106">
        <f>L3*1.3</f>
        <v>104.676</v>
      </c>
    </row>
    <row r="5" ht="15.75" customHeight="1">
      <c r="A5" s="263"/>
      <c r="B5" s="101"/>
      <c r="C5" s="101"/>
      <c r="D5" s="101"/>
      <c r="E5" s="101"/>
      <c r="F5" s="101"/>
      <c r="G5" s="101"/>
      <c r="H5" s="88">
        <f t="shared" si="1"/>
        <v>0</v>
      </c>
      <c r="I5" s="101"/>
      <c r="K5" s="30" t="s">
        <v>304</v>
      </c>
      <c r="L5" s="152">
        <v>105.0</v>
      </c>
    </row>
    <row r="6" ht="15.75" customHeight="1">
      <c r="A6" s="263"/>
      <c r="B6" s="101"/>
      <c r="C6" s="101"/>
      <c r="D6" s="101"/>
      <c r="E6" s="101"/>
      <c r="F6" s="101"/>
      <c r="G6" s="101"/>
      <c r="H6" s="88">
        <f t="shared" si="1"/>
        <v>0</v>
      </c>
      <c r="I6" s="101"/>
    </row>
    <row r="7" ht="15.75" customHeight="1">
      <c r="A7" s="263"/>
      <c r="B7" s="101"/>
      <c r="C7" s="101"/>
      <c r="D7" s="101"/>
      <c r="E7" s="101"/>
      <c r="F7" s="101"/>
      <c r="G7" s="101"/>
      <c r="H7" s="88">
        <f t="shared" si="1"/>
        <v>0</v>
      </c>
      <c r="I7" s="101"/>
    </row>
    <row r="8" ht="15.75" customHeight="1">
      <c r="A8" s="263"/>
      <c r="B8" s="101"/>
      <c r="C8" s="101"/>
      <c r="D8" s="101"/>
      <c r="E8" s="101"/>
      <c r="F8" s="101"/>
      <c r="G8" s="101"/>
      <c r="H8" s="88">
        <f t="shared" si="1"/>
        <v>0</v>
      </c>
      <c r="I8" s="101"/>
    </row>
    <row r="9" ht="15.75" customHeight="1">
      <c r="A9" s="263"/>
      <c r="B9" s="101"/>
      <c r="C9" s="101"/>
      <c r="D9" s="101"/>
      <c r="E9" s="101"/>
      <c r="F9" s="101"/>
      <c r="G9" s="101"/>
      <c r="H9" s="88">
        <f t="shared" si="1"/>
        <v>0</v>
      </c>
      <c r="I9" s="101"/>
    </row>
    <row r="10" ht="15.75" customHeight="1">
      <c r="A10" s="263"/>
      <c r="B10" s="101"/>
      <c r="C10" s="101"/>
      <c r="D10" s="101"/>
      <c r="E10" s="101"/>
      <c r="F10" s="101"/>
      <c r="G10" s="101"/>
      <c r="H10" s="88">
        <f t="shared" si="1"/>
        <v>0</v>
      </c>
      <c r="I10" s="101"/>
    </row>
    <row r="11" ht="15.75" customHeight="1">
      <c r="A11" s="263"/>
      <c r="B11" s="101"/>
      <c r="C11" s="101"/>
      <c r="D11" s="101"/>
      <c r="E11" s="101"/>
      <c r="F11" s="101"/>
      <c r="G11" s="101"/>
      <c r="H11" s="88">
        <f t="shared" si="1"/>
        <v>0</v>
      </c>
      <c r="I11" s="248"/>
    </row>
    <row r="12" ht="15.75" customHeight="1">
      <c r="A12" s="263"/>
      <c r="B12" s="101"/>
      <c r="C12" s="101"/>
      <c r="D12" s="101"/>
      <c r="E12" s="101"/>
      <c r="F12" s="101"/>
      <c r="G12" s="101"/>
      <c r="H12" s="88">
        <f t="shared" si="1"/>
        <v>0</v>
      </c>
      <c r="I12" s="248"/>
    </row>
    <row r="13" ht="15.75" customHeight="1">
      <c r="A13" s="263"/>
      <c r="B13" s="101"/>
      <c r="C13" s="101"/>
      <c r="D13" s="101"/>
      <c r="E13" s="101"/>
      <c r="F13" s="101"/>
      <c r="G13" s="101"/>
      <c r="H13" s="88">
        <f t="shared" si="1"/>
        <v>0</v>
      </c>
      <c r="I13" s="101"/>
    </row>
    <row r="14" ht="15.75" customHeight="1">
      <c r="A14" s="263"/>
      <c r="B14" s="101"/>
      <c r="C14" s="101"/>
      <c r="D14" s="101"/>
      <c r="E14" s="101"/>
      <c r="F14" s="101"/>
      <c r="G14" s="101"/>
      <c r="H14" s="88">
        <f t="shared" si="1"/>
        <v>0</v>
      </c>
      <c r="I14" s="101"/>
    </row>
    <row r="15" ht="15.75" customHeight="1">
      <c r="A15" s="263"/>
      <c r="B15" s="101"/>
      <c r="C15" s="101"/>
      <c r="D15" s="101"/>
      <c r="E15" s="101"/>
      <c r="F15" s="101"/>
      <c r="G15" s="101"/>
      <c r="H15" s="88">
        <f t="shared" si="1"/>
        <v>0</v>
      </c>
      <c r="I15" s="101"/>
    </row>
    <row r="16" ht="15.75" customHeight="1">
      <c r="A16" s="262"/>
      <c r="B16" s="101"/>
      <c r="C16" s="101"/>
      <c r="D16" s="101"/>
      <c r="E16" s="101"/>
      <c r="F16" s="101"/>
      <c r="G16" s="101"/>
      <c r="H16" s="88">
        <f t="shared" si="1"/>
        <v>0</v>
      </c>
      <c r="I16" s="101"/>
    </row>
    <row r="17" ht="15.75" customHeight="1">
      <c r="A17" s="263"/>
      <c r="B17" s="101"/>
      <c r="C17" s="101"/>
      <c r="D17" s="101"/>
      <c r="E17" s="101"/>
      <c r="F17" s="101"/>
      <c r="G17" s="101"/>
      <c r="H17" s="88">
        <f t="shared" si="1"/>
        <v>0</v>
      </c>
      <c r="I17" s="101"/>
    </row>
    <row r="18" ht="15.75" customHeight="1">
      <c r="A18" s="263"/>
      <c r="B18" s="101"/>
      <c r="C18" s="101"/>
      <c r="D18" s="101"/>
      <c r="E18" s="101"/>
      <c r="F18" s="101"/>
      <c r="G18" s="101"/>
      <c r="H18" s="88">
        <f t="shared" si="1"/>
        <v>0</v>
      </c>
      <c r="I18" s="101"/>
    </row>
    <row r="19" ht="15.75" customHeight="1">
      <c r="A19" s="263"/>
      <c r="B19" s="101"/>
      <c r="C19" s="101"/>
      <c r="D19" s="101"/>
      <c r="E19" s="101"/>
      <c r="F19" s="101"/>
      <c r="G19" s="101"/>
      <c r="H19" s="88">
        <f t="shared" si="1"/>
        <v>0</v>
      </c>
      <c r="I19" s="248"/>
    </row>
    <row r="20" ht="15.75" customHeight="1">
      <c r="A20" s="263"/>
      <c r="B20" s="101"/>
      <c r="C20" s="101"/>
      <c r="D20" s="101"/>
      <c r="E20" s="101"/>
      <c r="F20" s="101"/>
      <c r="G20" s="101"/>
      <c r="H20" s="88">
        <f t="shared" si="1"/>
        <v>0</v>
      </c>
      <c r="I20" s="101"/>
    </row>
    <row r="21" ht="15.75" customHeight="1">
      <c r="A21" s="263"/>
      <c r="B21" s="101"/>
      <c r="C21" s="101"/>
      <c r="D21" s="101"/>
      <c r="E21" s="101"/>
      <c r="F21" s="101"/>
      <c r="G21" s="101"/>
      <c r="H21" s="88">
        <f t="shared" si="1"/>
        <v>0</v>
      </c>
      <c r="I21" s="101"/>
    </row>
    <row r="22" ht="15.75" customHeight="1">
      <c r="A22" s="263"/>
      <c r="B22" s="101"/>
      <c r="C22" s="101"/>
      <c r="D22" s="101"/>
      <c r="E22" s="101"/>
      <c r="F22" s="101"/>
      <c r="G22" s="101"/>
      <c r="H22" s="88">
        <f t="shared" si="1"/>
        <v>0</v>
      </c>
      <c r="I22" s="101"/>
    </row>
    <row r="23" ht="15.75" customHeight="1">
      <c r="A23" s="263"/>
      <c r="B23" s="101"/>
      <c r="C23" s="101"/>
      <c r="D23" s="101"/>
      <c r="E23" s="101"/>
      <c r="F23" s="101"/>
      <c r="G23" s="101"/>
      <c r="H23" s="88">
        <f t="shared" si="1"/>
        <v>0</v>
      </c>
      <c r="I23" s="101"/>
    </row>
    <row r="24" ht="15.75" customHeight="1">
      <c r="A24" s="263"/>
      <c r="B24" s="101"/>
      <c r="C24" s="101"/>
      <c r="D24" s="101"/>
      <c r="E24" s="101"/>
      <c r="F24" s="101"/>
      <c r="G24" s="101"/>
      <c r="H24" s="88">
        <f t="shared" si="1"/>
        <v>0</v>
      </c>
      <c r="I24" s="101"/>
    </row>
    <row r="25" ht="15.75" customHeight="1">
      <c r="A25" s="263"/>
      <c r="B25" s="101"/>
      <c r="C25" s="101"/>
      <c r="D25" s="101"/>
      <c r="E25" s="101"/>
      <c r="F25" s="101"/>
      <c r="G25" s="101"/>
      <c r="H25" s="88">
        <f t="shared" si="1"/>
        <v>0</v>
      </c>
      <c r="I25" s="248"/>
    </row>
    <row r="26" ht="15.75" customHeight="1">
      <c r="A26" s="263"/>
      <c r="B26" s="101"/>
      <c r="C26" s="101"/>
      <c r="D26" s="101"/>
      <c r="E26" s="101"/>
      <c r="F26" s="101"/>
      <c r="G26" s="101"/>
      <c r="H26" s="88">
        <f t="shared" si="1"/>
        <v>0</v>
      </c>
      <c r="I26" s="248"/>
    </row>
    <row r="27" ht="15.75" customHeight="1">
      <c r="A27" s="263"/>
      <c r="B27" s="101"/>
      <c r="C27" s="101"/>
      <c r="D27" s="101"/>
      <c r="E27" s="101"/>
      <c r="F27" s="101"/>
      <c r="G27" s="101"/>
      <c r="H27" s="88">
        <f t="shared" si="1"/>
        <v>0</v>
      </c>
      <c r="I27" s="101"/>
    </row>
    <row r="28" ht="15.75" customHeight="1">
      <c r="A28" s="263"/>
      <c r="B28" s="101"/>
      <c r="C28" s="101"/>
      <c r="D28" s="101"/>
      <c r="E28" s="101"/>
      <c r="F28" s="101"/>
      <c r="G28" s="101"/>
      <c r="H28" s="88">
        <f t="shared" si="1"/>
        <v>0</v>
      </c>
      <c r="I28" s="101"/>
    </row>
    <row r="29" ht="15.75" customHeight="1">
      <c r="A29" s="263"/>
      <c r="B29" s="101"/>
      <c r="C29" s="101"/>
      <c r="D29" s="101"/>
      <c r="E29" s="101"/>
      <c r="F29" s="101"/>
      <c r="G29" s="101"/>
      <c r="H29" s="88">
        <f t="shared" si="1"/>
        <v>0</v>
      </c>
      <c r="I29" s="101"/>
    </row>
    <row r="30" ht="15.75" customHeight="1">
      <c r="A30" s="263"/>
      <c r="B30" s="101"/>
      <c r="C30" s="101"/>
      <c r="D30" s="101"/>
      <c r="E30" s="101"/>
      <c r="F30" s="101"/>
      <c r="G30" s="101"/>
      <c r="H30" s="88">
        <f t="shared" si="1"/>
        <v>0</v>
      </c>
      <c r="I30" s="101"/>
    </row>
    <row r="31" ht="15.75" customHeight="1">
      <c r="A31" s="263"/>
      <c r="B31" s="101"/>
      <c r="C31" s="101"/>
      <c r="D31" s="101"/>
      <c r="E31" s="101"/>
      <c r="F31" s="101"/>
      <c r="G31" s="101"/>
      <c r="H31" s="88">
        <f t="shared" si="1"/>
        <v>0</v>
      </c>
      <c r="I31" s="101"/>
    </row>
    <row r="32" ht="15.75" customHeight="1">
      <c r="A32" s="263"/>
      <c r="B32" s="101"/>
      <c r="C32" s="101"/>
      <c r="D32" s="101"/>
      <c r="E32" s="101"/>
      <c r="F32" s="101"/>
      <c r="G32" s="101"/>
      <c r="H32" s="88">
        <f t="shared" si="1"/>
        <v>0</v>
      </c>
      <c r="I32" s="101"/>
    </row>
    <row r="33" ht="15.75" customHeight="1">
      <c r="A33" s="263"/>
      <c r="B33" s="101"/>
      <c r="C33" s="101"/>
      <c r="D33" s="101"/>
      <c r="E33" s="101"/>
      <c r="F33" s="101"/>
      <c r="G33" s="101"/>
      <c r="H33" s="88">
        <f t="shared" si="1"/>
        <v>0</v>
      </c>
      <c r="I33" s="101"/>
    </row>
    <row r="34" ht="15.75" customHeight="1">
      <c r="A34" s="263"/>
      <c r="B34" s="101"/>
      <c r="C34" s="101"/>
      <c r="D34" s="101"/>
      <c r="E34" s="101"/>
      <c r="F34" s="101"/>
      <c r="G34" s="101"/>
      <c r="H34" s="88">
        <f t="shared" si="1"/>
        <v>0</v>
      </c>
      <c r="I34" s="101"/>
    </row>
    <row r="35" ht="15.75" customHeight="1">
      <c r="A35" s="263"/>
      <c r="B35" s="101"/>
      <c r="C35" s="101"/>
      <c r="D35" s="101"/>
      <c r="E35" s="101"/>
      <c r="F35" s="101"/>
      <c r="G35" s="101"/>
      <c r="H35" s="88">
        <f t="shared" si="1"/>
        <v>0</v>
      </c>
      <c r="I35" s="101"/>
    </row>
    <row r="36" ht="15.75" customHeight="1">
      <c r="A36" s="263"/>
      <c r="B36" s="101"/>
      <c r="C36" s="101"/>
      <c r="D36" s="101"/>
      <c r="E36" s="101"/>
      <c r="F36" s="101"/>
      <c r="G36" s="101"/>
      <c r="H36" s="88">
        <f t="shared" si="1"/>
        <v>0</v>
      </c>
      <c r="I36" s="101"/>
    </row>
    <row r="37" ht="15.75" customHeight="1">
      <c r="A37" s="263"/>
      <c r="B37" s="101"/>
      <c r="C37" s="101"/>
      <c r="D37" s="101"/>
      <c r="E37" s="101"/>
      <c r="F37" s="101"/>
      <c r="G37" s="101"/>
      <c r="H37" s="88">
        <f t="shared" si="1"/>
        <v>0</v>
      </c>
      <c r="I37" s="101"/>
    </row>
    <row r="38" ht="15.75" customHeight="1">
      <c r="A38" s="263"/>
      <c r="B38" s="101"/>
      <c r="C38" s="101"/>
      <c r="D38" s="101"/>
      <c r="E38" s="101"/>
      <c r="F38" s="101"/>
      <c r="G38" s="101"/>
      <c r="H38" s="88">
        <f t="shared" si="1"/>
        <v>0</v>
      </c>
      <c r="I38" s="101"/>
    </row>
    <row r="39" ht="15.75" customHeight="1">
      <c r="A39" s="263"/>
      <c r="B39" s="101"/>
      <c r="C39" s="101"/>
      <c r="D39" s="101"/>
      <c r="E39" s="101"/>
      <c r="F39" s="101"/>
      <c r="G39" s="101"/>
      <c r="H39" s="88">
        <f t="shared" si="1"/>
        <v>0</v>
      </c>
      <c r="I39" s="101"/>
    </row>
    <row r="40" ht="15.75" customHeight="1">
      <c r="A40" s="263"/>
      <c r="B40" s="101"/>
      <c r="C40" s="101"/>
      <c r="D40" s="101"/>
      <c r="E40" s="101"/>
      <c r="F40" s="101"/>
      <c r="G40" s="101"/>
      <c r="H40" s="88">
        <f t="shared" si="1"/>
        <v>0</v>
      </c>
      <c r="I40" s="101"/>
    </row>
    <row r="41" ht="15.75" customHeight="1">
      <c r="A41" s="263"/>
      <c r="B41" s="101"/>
      <c r="C41" s="101"/>
      <c r="D41" s="101"/>
      <c r="E41" s="101"/>
      <c r="F41" s="101"/>
      <c r="G41" s="101"/>
      <c r="H41" s="88">
        <f t="shared" si="1"/>
        <v>0</v>
      </c>
      <c r="I41" s="101"/>
    </row>
    <row r="42" ht="15.75" customHeight="1">
      <c r="A42" s="263"/>
      <c r="B42" s="101"/>
      <c r="C42" s="101"/>
      <c r="D42" s="101"/>
      <c r="E42" s="101"/>
      <c r="F42" s="101"/>
      <c r="G42" s="101"/>
      <c r="H42" s="88">
        <f t="shared" si="1"/>
        <v>0</v>
      </c>
      <c r="I42" s="101"/>
    </row>
    <row r="43" ht="15.75" customHeight="1">
      <c r="A43" s="263"/>
      <c r="B43" s="101"/>
      <c r="C43" s="101"/>
      <c r="D43" s="101"/>
      <c r="E43" s="101"/>
      <c r="F43" s="101"/>
      <c r="G43" s="101"/>
      <c r="H43" s="88">
        <f t="shared" si="1"/>
        <v>0</v>
      </c>
      <c r="I43" s="101"/>
    </row>
    <row r="44" ht="15.75" customHeight="1">
      <c r="A44" s="263"/>
      <c r="B44" s="101"/>
      <c r="C44" s="101"/>
      <c r="D44" s="101"/>
      <c r="E44" s="101"/>
      <c r="F44" s="101"/>
      <c r="G44" s="101"/>
      <c r="H44" s="88">
        <f t="shared" si="1"/>
        <v>0</v>
      </c>
      <c r="I44" s="101"/>
    </row>
    <row r="45" ht="15.75" customHeight="1">
      <c r="A45" s="263"/>
      <c r="B45" s="101"/>
      <c r="C45" s="101"/>
      <c r="D45" s="101"/>
      <c r="E45" s="101"/>
      <c r="F45" s="101"/>
      <c r="G45" s="101"/>
      <c r="H45" s="88">
        <f t="shared" si="1"/>
        <v>0</v>
      </c>
      <c r="I45" s="101"/>
    </row>
    <row r="46" ht="15.75" customHeight="1">
      <c r="A46" s="263"/>
      <c r="B46" s="101"/>
      <c r="C46" s="101"/>
      <c r="D46" s="101"/>
      <c r="E46" s="101"/>
      <c r="F46" s="101"/>
      <c r="G46" s="101"/>
      <c r="H46" s="88">
        <f t="shared" si="1"/>
        <v>0</v>
      </c>
      <c r="I46" s="101"/>
    </row>
    <row r="47" ht="15.75" customHeight="1">
      <c r="A47" s="263"/>
      <c r="B47" s="101"/>
      <c r="C47" s="101"/>
      <c r="D47" s="101"/>
      <c r="E47" s="101"/>
      <c r="F47" s="101"/>
      <c r="G47" s="101"/>
      <c r="H47" s="88">
        <f t="shared" si="1"/>
        <v>0</v>
      </c>
      <c r="I47" s="101"/>
    </row>
    <row r="48" ht="15.75" customHeight="1">
      <c r="A48" s="263"/>
      <c r="B48" s="101"/>
      <c r="C48" s="101"/>
      <c r="D48" s="101"/>
      <c r="E48" s="101"/>
      <c r="F48" s="101"/>
      <c r="G48" s="101"/>
      <c r="H48" s="88">
        <f t="shared" si="1"/>
        <v>0</v>
      </c>
      <c r="I48" s="101"/>
    </row>
    <row r="49" ht="15.75" customHeight="1">
      <c r="A49" s="263"/>
      <c r="B49" s="101"/>
      <c r="C49" s="101"/>
      <c r="D49" s="101"/>
      <c r="E49" s="101"/>
      <c r="F49" s="101"/>
      <c r="G49" s="101"/>
      <c r="H49" s="88">
        <f t="shared" si="1"/>
        <v>0</v>
      </c>
      <c r="I49" s="101"/>
    </row>
    <row r="50" ht="15.75" customHeight="1">
      <c r="A50" s="263"/>
      <c r="B50" s="101"/>
      <c r="C50" s="101"/>
      <c r="D50" s="101"/>
      <c r="E50" s="101"/>
      <c r="F50" s="101"/>
      <c r="G50" s="101"/>
      <c r="H50" s="88">
        <f t="shared" si="1"/>
        <v>0</v>
      </c>
      <c r="I50" s="101"/>
    </row>
    <row r="51" ht="15.75" customHeight="1">
      <c r="A51" s="263"/>
      <c r="B51" s="101"/>
      <c r="C51" s="101"/>
      <c r="D51" s="101"/>
      <c r="E51" s="101"/>
      <c r="F51" s="101"/>
      <c r="G51" s="101"/>
      <c r="H51" s="88">
        <f t="shared" si="1"/>
        <v>0</v>
      </c>
      <c r="I51" s="101"/>
    </row>
    <row r="52" ht="15.75" customHeight="1">
      <c r="A52" s="263"/>
      <c r="B52" s="101"/>
      <c r="C52" s="101"/>
      <c r="D52" s="101"/>
      <c r="E52" s="101"/>
      <c r="F52" s="101"/>
      <c r="G52" s="101"/>
      <c r="H52" s="88">
        <f t="shared" si="1"/>
        <v>0</v>
      </c>
      <c r="I52" s="101"/>
    </row>
    <row r="53" ht="15.75" customHeight="1">
      <c r="A53" s="263"/>
      <c r="B53" s="101"/>
      <c r="C53" s="101"/>
      <c r="D53" s="101"/>
      <c r="E53" s="101"/>
      <c r="F53" s="101"/>
      <c r="G53" s="101"/>
      <c r="H53" s="88">
        <f t="shared" si="1"/>
        <v>0</v>
      </c>
      <c r="I53" s="101"/>
    </row>
    <row r="54" ht="15.75" customHeight="1">
      <c r="A54" s="263"/>
      <c r="B54" s="101"/>
      <c r="C54" s="101"/>
      <c r="D54" s="101"/>
      <c r="E54" s="101"/>
      <c r="F54" s="101"/>
      <c r="G54" s="101"/>
      <c r="H54" s="88">
        <f t="shared" si="1"/>
        <v>0</v>
      </c>
      <c r="I54" s="10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G1"/>
    <mergeCell ref="H1:I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7" max="7" width="15.13"/>
    <col customWidth="1" min="10" max="10" width="24.13"/>
  </cols>
  <sheetData>
    <row r="1" ht="15.75" customHeight="1">
      <c r="A1" s="64" t="s">
        <v>174</v>
      </c>
      <c r="B1" s="264" t="s">
        <v>305</v>
      </c>
      <c r="C1" s="264" t="s">
        <v>306</v>
      </c>
      <c r="D1" s="264" t="s">
        <v>307</v>
      </c>
      <c r="E1" s="264" t="s">
        <v>308</v>
      </c>
      <c r="F1" s="265" t="s">
        <v>309</v>
      </c>
      <c r="G1" s="266" t="s">
        <v>121</v>
      </c>
      <c r="H1" s="71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</row>
    <row r="2" ht="15.75" customHeight="1">
      <c r="A2" s="49"/>
      <c r="B2" s="48"/>
      <c r="C2" s="48"/>
      <c r="D2" s="48"/>
      <c r="E2" s="48"/>
      <c r="F2" s="48"/>
      <c r="G2" s="268" t="s">
        <v>310</v>
      </c>
      <c r="H2" s="268" t="s">
        <v>127</v>
      </c>
      <c r="I2" s="267"/>
      <c r="J2" s="269" t="s">
        <v>94</v>
      </c>
      <c r="K2" s="269" t="s">
        <v>95</v>
      </c>
      <c r="L2" s="269" t="s">
        <v>311</v>
      </c>
      <c r="M2" s="269" t="s">
        <v>312</v>
      </c>
      <c r="N2" s="267"/>
      <c r="O2" s="267"/>
      <c r="P2" s="267"/>
      <c r="Q2" s="267"/>
      <c r="R2" s="267"/>
      <c r="S2" s="267"/>
      <c r="T2" s="267"/>
    </row>
    <row r="3" ht="18.75" customHeight="1">
      <c r="A3" s="270">
        <v>45727.0</v>
      </c>
      <c r="B3" s="101">
        <v>3.0</v>
      </c>
      <c r="C3" s="101">
        <v>3.0</v>
      </c>
      <c r="D3" s="88">
        <v>10.0</v>
      </c>
      <c r="E3" s="101">
        <v>6.0</v>
      </c>
      <c r="F3" s="101">
        <v>10.0</v>
      </c>
      <c r="G3" s="88"/>
      <c r="H3" s="271">
        <f t="shared" ref="H3:H80" si="1">B3*$K$3+C3*$K$4+D3*$K$5+E3*$K$6+F3*$K$7</f>
        <v>1373.493</v>
      </c>
      <c r="J3" s="86" t="s">
        <v>313</v>
      </c>
      <c r="K3" s="86">
        <v>39.93</v>
      </c>
      <c r="L3" s="86">
        <f t="shared" ref="L3:L7" si="2">K3*1.3</f>
        <v>51.909</v>
      </c>
      <c r="M3" s="272">
        <v>50.0</v>
      </c>
      <c r="N3" s="267"/>
    </row>
    <row r="4" ht="15.75" customHeight="1">
      <c r="A4" s="270"/>
      <c r="B4" s="101"/>
      <c r="C4" s="101"/>
      <c r="D4" s="88"/>
      <c r="E4" s="101"/>
      <c r="F4" s="101"/>
      <c r="G4" s="88"/>
      <c r="H4" s="271">
        <f t="shared" si="1"/>
        <v>0</v>
      </c>
      <c r="J4" s="86" t="s">
        <v>314</v>
      </c>
      <c r="K4" s="86">
        <v>27.267</v>
      </c>
      <c r="L4" s="86">
        <f t="shared" si="2"/>
        <v>35.4471</v>
      </c>
      <c r="M4" s="272">
        <v>35.0</v>
      </c>
      <c r="N4" s="267"/>
    </row>
    <row r="5" ht="19.5" customHeight="1">
      <c r="A5" s="270"/>
      <c r="B5" s="101"/>
      <c r="C5" s="101"/>
      <c r="D5" s="88"/>
      <c r="E5" s="101"/>
      <c r="F5" s="101"/>
      <c r="G5" s="88"/>
      <c r="H5" s="271">
        <f t="shared" si="1"/>
        <v>0</v>
      </c>
      <c r="J5" s="86" t="s">
        <v>315</v>
      </c>
      <c r="K5" s="86">
        <v>48.848</v>
      </c>
      <c r="L5" s="86">
        <f t="shared" si="2"/>
        <v>63.5024</v>
      </c>
      <c r="M5" s="272">
        <v>60.0</v>
      </c>
      <c r="N5" s="267"/>
    </row>
    <row r="6" ht="15.75" customHeight="1">
      <c r="A6" s="270"/>
      <c r="B6" s="101"/>
      <c r="C6" s="101"/>
      <c r="D6" s="88"/>
      <c r="E6" s="101"/>
      <c r="F6" s="101"/>
      <c r="G6" s="88"/>
      <c r="H6" s="271">
        <f t="shared" si="1"/>
        <v>0</v>
      </c>
      <c r="J6" s="86" t="s">
        <v>308</v>
      </c>
      <c r="K6" s="86">
        <v>42.187</v>
      </c>
      <c r="L6" s="86">
        <f t="shared" si="2"/>
        <v>54.8431</v>
      </c>
      <c r="M6" s="272">
        <v>55.0</v>
      </c>
      <c r="N6" s="267"/>
    </row>
    <row r="7" ht="15.75" customHeight="1">
      <c r="A7" s="270"/>
      <c r="B7" s="101"/>
      <c r="C7" s="101"/>
      <c r="D7" s="88"/>
      <c r="E7" s="101"/>
      <c r="F7" s="101"/>
      <c r="G7" s="88"/>
      <c r="H7" s="271">
        <f t="shared" si="1"/>
        <v>0</v>
      </c>
      <c r="J7" s="86" t="s">
        <v>316</v>
      </c>
      <c r="K7" s="30">
        <v>43.03</v>
      </c>
      <c r="L7" s="86">
        <f t="shared" si="2"/>
        <v>55.939</v>
      </c>
      <c r="M7" s="272"/>
    </row>
    <row r="8" ht="15.75" customHeight="1">
      <c r="A8" s="270"/>
      <c r="B8" s="101"/>
      <c r="C8" s="101"/>
      <c r="D8" s="88"/>
      <c r="E8" s="101"/>
      <c r="F8" s="101"/>
      <c r="G8" s="88"/>
      <c r="H8" s="271">
        <f t="shared" si="1"/>
        <v>0</v>
      </c>
      <c r="I8" s="153"/>
    </row>
    <row r="9" ht="15.75" customHeight="1">
      <c r="A9" s="270"/>
      <c r="B9" s="101"/>
      <c r="C9" s="101"/>
      <c r="D9" s="88"/>
      <c r="E9" s="101"/>
      <c r="F9" s="101"/>
      <c r="G9" s="88"/>
      <c r="H9" s="271">
        <f t="shared" si="1"/>
        <v>0</v>
      </c>
      <c r="I9" s="153"/>
    </row>
    <row r="10" ht="15.75" customHeight="1">
      <c r="A10" s="270"/>
      <c r="B10" s="101"/>
      <c r="C10" s="101"/>
      <c r="D10" s="88"/>
      <c r="E10" s="101"/>
      <c r="F10" s="101"/>
      <c r="G10" s="88"/>
      <c r="H10" s="271">
        <f t="shared" si="1"/>
        <v>0</v>
      </c>
    </row>
    <row r="11" ht="15.75" customHeight="1">
      <c r="A11" s="270"/>
      <c r="B11" s="101"/>
      <c r="C11" s="101"/>
      <c r="D11" s="88"/>
      <c r="E11" s="101"/>
      <c r="F11" s="101"/>
      <c r="G11" s="88"/>
      <c r="H11" s="271">
        <f t="shared" si="1"/>
        <v>0</v>
      </c>
    </row>
    <row r="12" ht="15.75" customHeight="1">
      <c r="A12" s="270"/>
      <c r="B12" s="101"/>
      <c r="C12" s="101"/>
      <c r="D12" s="88"/>
      <c r="E12" s="101"/>
      <c r="F12" s="101"/>
      <c r="G12" s="88"/>
      <c r="H12" s="271">
        <f t="shared" si="1"/>
        <v>0</v>
      </c>
      <c r="J12" s="273" t="s">
        <v>317</v>
      </c>
      <c r="K12" s="69"/>
      <c r="L12" s="71"/>
    </row>
    <row r="13" ht="15.75" customHeight="1">
      <c r="A13" s="270"/>
      <c r="B13" s="101"/>
      <c r="C13" s="101"/>
      <c r="D13" s="88"/>
      <c r="E13" s="101"/>
      <c r="F13" s="101"/>
      <c r="G13" s="88"/>
      <c r="H13" s="271">
        <f t="shared" si="1"/>
        <v>0</v>
      </c>
      <c r="J13" s="274" t="s">
        <v>318</v>
      </c>
      <c r="K13" s="191"/>
      <c r="L13" s="191"/>
      <c r="M13" s="191"/>
      <c r="N13" s="43"/>
    </row>
    <row r="14" ht="15.75" customHeight="1">
      <c r="A14" s="270"/>
      <c r="B14" s="101"/>
      <c r="C14" s="101"/>
      <c r="D14" s="88"/>
      <c r="E14" s="101"/>
      <c r="F14" s="101"/>
      <c r="G14" s="88"/>
      <c r="H14" s="271">
        <f t="shared" si="1"/>
        <v>0</v>
      </c>
      <c r="I14" s="153"/>
      <c r="J14" s="47"/>
      <c r="K14" s="275"/>
      <c r="L14" s="275"/>
      <c r="M14" s="275"/>
      <c r="N14" s="48"/>
    </row>
    <row r="15" ht="15.75" customHeight="1">
      <c r="A15" s="270"/>
      <c r="B15" s="101"/>
      <c r="C15" s="101"/>
      <c r="D15" s="88"/>
      <c r="E15" s="101"/>
      <c r="F15" s="101"/>
      <c r="G15" s="88"/>
      <c r="H15" s="271">
        <f t="shared" si="1"/>
        <v>0</v>
      </c>
    </row>
    <row r="16" ht="15.75" customHeight="1">
      <c r="A16" s="270"/>
      <c r="B16" s="101"/>
      <c r="C16" s="101"/>
      <c r="D16" s="88"/>
      <c r="E16" s="101"/>
      <c r="F16" s="101"/>
      <c r="G16" s="88"/>
      <c r="H16" s="271">
        <f t="shared" si="1"/>
        <v>0</v>
      </c>
      <c r="I16" s="153"/>
    </row>
    <row r="17" ht="15.75" customHeight="1">
      <c r="A17" s="270"/>
      <c r="B17" s="101"/>
      <c r="C17" s="101"/>
      <c r="D17" s="88"/>
      <c r="E17" s="101"/>
      <c r="F17" s="101"/>
      <c r="G17" s="88"/>
      <c r="H17" s="271">
        <f t="shared" si="1"/>
        <v>0</v>
      </c>
      <c r="I17" s="276"/>
    </row>
    <row r="18" ht="15.75" customHeight="1">
      <c r="A18" s="270"/>
      <c r="B18" s="101"/>
      <c r="C18" s="101"/>
      <c r="D18" s="88"/>
      <c r="E18" s="101"/>
      <c r="F18" s="101"/>
      <c r="G18" s="88"/>
      <c r="H18" s="271">
        <f t="shared" si="1"/>
        <v>0</v>
      </c>
      <c r="I18" s="153"/>
    </row>
    <row r="19" ht="15.75" customHeight="1">
      <c r="A19" s="270"/>
      <c r="B19" s="101"/>
      <c r="C19" s="101"/>
      <c r="D19" s="88"/>
      <c r="E19" s="101"/>
      <c r="F19" s="101"/>
      <c r="G19" s="88"/>
      <c r="H19" s="271">
        <f t="shared" si="1"/>
        <v>0</v>
      </c>
    </row>
    <row r="20" ht="15.75" customHeight="1">
      <c r="A20" s="270"/>
      <c r="B20" s="101"/>
      <c r="C20" s="101"/>
      <c r="D20" s="88"/>
      <c r="E20" s="101"/>
      <c r="F20" s="101"/>
      <c r="G20" s="88"/>
      <c r="H20" s="271">
        <f t="shared" si="1"/>
        <v>0</v>
      </c>
    </row>
    <row r="21" ht="15.75" customHeight="1">
      <c r="A21" s="270"/>
      <c r="B21" s="101"/>
      <c r="C21" s="101"/>
      <c r="D21" s="88"/>
      <c r="E21" s="101"/>
      <c r="F21" s="101"/>
      <c r="G21" s="88"/>
      <c r="H21" s="271">
        <f t="shared" si="1"/>
        <v>0</v>
      </c>
    </row>
    <row r="22" ht="15.75" customHeight="1">
      <c r="A22" s="270"/>
      <c r="B22" s="101"/>
      <c r="C22" s="101"/>
      <c r="D22" s="88"/>
      <c r="E22" s="101"/>
      <c r="F22" s="101"/>
      <c r="G22" s="88"/>
      <c r="H22" s="271">
        <f t="shared" si="1"/>
        <v>0</v>
      </c>
    </row>
    <row r="23" ht="17.25" customHeight="1">
      <c r="A23" s="270"/>
      <c r="B23" s="101"/>
      <c r="C23" s="101"/>
      <c r="D23" s="88"/>
      <c r="E23" s="101"/>
      <c r="F23" s="101"/>
      <c r="G23" s="88"/>
      <c r="H23" s="271">
        <f t="shared" si="1"/>
        <v>0</v>
      </c>
    </row>
    <row r="24" ht="15.75" customHeight="1">
      <c r="A24" s="270"/>
      <c r="B24" s="101"/>
      <c r="C24" s="101"/>
      <c r="D24" s="88"/>
      <c r="E24" s="101"/>
      <c r="F24" s="101"/>
      <c r="G24" s="88"/>
      <c r="H24" s="271">
        <f t="shared" si="1"/>
        <v>0</v>
      </c>
    </row>
    <row r="25" ht="15.75" customHeight="1">
      <c r="A25" s="270"/>
      <c r="B25" s="101"/>
      <c r="C25" s="101"/>
      <c r="D25" s="88"/>
      <c r="E25" s="101"/>
      <c r="F25" s="101"/>
      <c r="G25" s="88"/>
      <c r="H25" s="271">
        <f t="shared" si="1"/>
        <v>0</v>
      </c>
    </row>
    <row r="26" ht="15.75" customHeight="1">
      <c r="A26" s="270"/>
      <c r="B26" s="101"/>
      <c r="C26" s="101"/>
      <c r="D26" s="88"/>
      <c r="E26" s="101"/>
      <c r="F26" s="101"/>
      <c r="G26" s="88"/>
      <c r="H26" s="271">
        <f t="shared" si="1"/>
        <v>0</v>
      </c>
    </row>
    <row r="27" ht="15.75" customHeight="1">
      <c r="A27" s="270"/>
      <c r="B27" s="101"/>
      <c r="C27" s="101"/>
      <c r="D27" s="88"/>
      <c r="E27" s="101"/>
      <c r="F27" s="101"/>
      <c r="G27" s="88"/>
      <c r="H27" s="271">
        <f t="shared" si="1"/>
        <v>0</v>
      </c>
    </row>
    <row r="28" ht="15.75" customHeight="1">
      <c r="A28" s="270"/>
      <c r="B28" s="101"/>
      <c r="C28" s="101"/>
      <c r="D28" s="88"/>
      <c r="E28" s="101"/>
      <c r="F28" s="101"/>
      <c r="G28" s="88"/>
      <c r="H28" s="271">
        <f t="shared" si="1"/>
        <v>0</v>
      </c>
    </row>
    <row r="29" ht="15.75" customHeight="1">
      <c r="A29" s="270"/>
      <c r="B29" s="101"/>
      <c r="C29" s="101"/>
      <c r="D29" s="88"/>
      <c r="E29" s="101"/>
      <c r="F29" s="101"/>
      <c r="G29" s="88"/>
      <c r="H29" s="271">
        <f t="shared" si="1"/>
        <v>0</v>
      </c>
    </row>
    <row r="30" ht="15.75" customHeight="1">
      <c r="A30" s="270"/>
      <c r="B30" s="101"/>
      <c r="C30" s="101"/>
      <c r="D30" s="88"/>
      <c r="E30" s="101"/>
      <c r="F30" s="101"/>
      <c r="G30" s="88"/>
      <c r="H30" s="271">
        <f t="shared" si="1"/>
        <v>0</v>
      </c>
    </row>
    <row r="31" ht="15.75" customHeight="1">
      <c r="A31" s="270"/>
      <c r="B31" s="101"/>
      <c r="C31" s="101"/>
      <c r="D31" s="88"/>
      <c r="E31" s="101"/>
      <c r="F31" s="101"/>
      <c r="G31" s="88"/>
      <c r="H31" s="271">
        <f t="shared" si="1"/>
        <v>0</v>
      </c>
    </row>
    <row r="32" ht="15.75" customHeight="1">
      <c r="A32" s="270"/>
      <c r="B32" s="101"/>
      <c r="C32" s="101"/>
      <c r="D32" s="88"/>
      <c r="E32" s="101"/>
      <c r="F32" s="101"/>
      <c r="G32" s="88"/>
      <c r="H32" s="271">
        <f t="shared" si="1"/>
        <v>0</v>
      </c>
    </row>
    <row r="33" ht="15.75" customHeight="1">
      <c r="A33" s="270"/>
      <c r="B33" s="101"/>
      <c r="C33" s="101"/>
      <c r="D33" s="88"/>
      <c r="E33" s="101"/>
      <c r="F33" s="101"/>
      <c r="G33" s="88"/>
      <c r="H33" s="271">
        <f t="shared" si="1"/>
        <v>0</v>
      </c>
    </row>
    <row r="34" ht="15.75" customHeight="1">
      <c r="A34" s="270"/>
      <c r="B34" s="101"/>
      <c r="C34" s="101"/>
      <c r="D34" s="88"/>
      <c r="E34" s="101"/>
      <c r="F34" s="101"/>
      <c r="G34" s="88"/>
      <c r="H34" s="271">
        <f t="shared" si="1"/>
        <v>0</v>
      </c>
    </row>
    <row r="35" ht="15.75" customHeight="1">
      <c r="A35" s="270"/>
      <c r="B35" s="101"/>
      <c r="C35" s="101"/>
      <c r="D35" s="88"/>
      <c r="E35" s="101"/>
      <c r="F35" s="101"/>
      <c r="G35" s="88"/>
      <c r="H35" s="271">
        <f t="shared" si="1"/>
        <v>0</v>
      </c>
      <c r="I35" s="8"/>
    </row>
    <row r="36" ht="15.75" customHeight="1">
      <c r="A36" s="270"/>
      <c r="B36" s="101"/>
      <c r="C36" s="101"/>
      <c r="D36" s="88"/>
      <c r="E36" s="101"/>
      <c r="F36" s="101"/>
      <c r="G36" s="88"/>
      <c r="H36" s="271">
        <f t="shared" si="1"/>
        <v>0</v>
      </c>
    </row>
    <row r="37" ht="15.75" customHeight="1">
      <c r="A37" s="270"/>
      <c r="B37" s="101"/>
      <c r="C37" s="101"/>
      <c r="D37" s="88"/>
      <c r="E37" s="101"/>
      <c r="F37" s="101"/>
      <c r="G37" s="88"/>
      <c r="H37" s="271">
        <f t="shared" si="1"/>
        <v>0</v>
      </c>
    </row>
    <row r="38" ht="15.75" customHeight="1">
      <c r="A38" s="270"/>
      <c r="B38" s="101"/>
      <c r="C38" s="101"/>
      <c r="D38" s="88"/>
      <c r="E38" s="101"/>
      <c r="F38" s="101"/>
      <c r="G38" s="88"/>
      <c r="H38" s="271">
        <f t="shared" si="1"/>
        <v>0</v>
      </c>
    </row>
    <row r="39" ht="15.75" customHeight="1">
      <c r="A39" s="270"/>
      <c r="B39" s="101"/>
      <c r="C39" s="101"/>
      <c r="D39" s="88"/>
      <c r="E39" s="101"/>
      <c r="F39" s="101"/>
      <c r="G39" s="88"/>
      <c r="H39" s="271">
        <f t="shared" si="1"/>
        <v>0</v>
      </c>
    </row>
    <row r="40" ht="15.75" customHeight="1">
      <c r="A40" s="270"/>
      <c r="B40" s="101"/>
      <c r="C40" s="101"/>
      <c r="D40" s="88"/>
      <c r="E40" s="101"/>
      <c r="F40" s="101"/>
      <c r="G40" s="88"/>
      <c r="H40" s="271">
        <f t="shared" si="1"/>
        <v>0</v>
      </c>
    </row>
    <row r="41" ht="15.75" customHeight="1">
      <c r="A41" s="270"/>
      <c r="B41" s="101"/>
      <c r="C41" s="101"/>
      <c r="D41" s="88"/>
      <c r="E41" s="101"/>
      <c r="F41" s="101"/>
      <c r="G41" s="88"/>
      <c r="H41" s="271">
        <f t="shared" si="1"/>
        <v>0</v>
      </c>
    </row>
    <row r="42" ht="15.75" customHeight="1">
      <c r="A42" s="270"/>
      <c r="B42" s="101"/>
      <c r="C42" s="101"/>
      <c r="D42" s="88"/>
      <c r="E42" s="101"/>
      <c r="F42" s="101"/>
      <c r="G42" s="88"/>
      <c r="H42" s="271">
        <f t="shared" si="1"/>
        <v>0</v>
      </c>
    </row>
    <row r="43" ht="15.75" customHeight="1">
      <c r="A43" s="270"/>
      <c r="B43" s="101"/>
      <c r="C43" s="101"/>
      <c r="D43" s="88"/>
      <c r="E43" s="101"/>
      <c r="F43" s="101"/>
      <c r="G43" s="88"/>
      <c r="H43" s="271">
        <f t="shared" si="1"/>
        <v>0</v>
      </c>
    </row>
    <row r="44" ht="15.75" customHeight="1">
      <c r="A44" s="270"/>
      <c r="B44" s="101"/>
      <c r="C44" s="101"/>
      <c r="D44" s="88"/>
      <c r="E44" s="101"/>
      <c r="F44" s="101"/>
      <c r="G44" s="88"/>
      <c r="H44" s="271">
        <f t="shared" si="1"/>
        <v>0</v>
      </c>
    </row>
    <row r="45" ht="15.75" customHeight="1">
      <c r="A45" s="270"/>
      <c r="B45" s="101"/>
      <c r="C45" s="101"/>
      <c r="D45" s="88"/>
      <c r="E45" s="101"/>
      <c r="F45" s="101"/>
      <c r="G45" s="88"/>
      <c r="H45" s="271">
        <f t="shared" si="1"/>
        <v>0</v>
      </c>
    </row>
    <row r="46" ht="15.75" customHeight="1">
      <c r="A46" s="270"/>
      <c r="B46" s="101"/>
      <c r="C46" s="101"/>
      <c r="D46" s="88"/>
      <c r="E46" s="101"/>
      <c r="F46" s="101"/>
      <c r="G46" s="88"/>
      <c r="H46" s="271">
        <f t="shared" si="1"/>
        <v>0</v>
      </c>
    </row>
    <row r="47" ht="15.75" customHeight="1">
      <c r="A47" s="270"/>
      <c r="B47" s="101"/>
      <c r="C47" s="101"/>
      <c r="D47" s="88"/>
      <c r="E47" s="101"/>
      <c r="F47" s="101"/>
      <c r="G47" s="88"/>
      <c r="H47" s="271">
        <f t="shared" si="1"/>
        <v>0</v>
      </c>
    </row>
    <row r="48" ht="15.75" customHeight="1">
      <c r="A48" s="242"/>
      <c r="B48" s="101"/>
      <c r="C48" s="101"/>
      <c r="D48" s="88"/>
      <c r="E48" s="101"/>
      <c r="F48" s="101"/>
      <c r="G48" s="88"/>
      <c r="H48" s="271">
        <f t="shared" si="1"/>
        <v>0</v>
      </c>
    </row>
    <row r="49" ht="15.75" customHeight="1">
      <c r="A49" s="270"/>
      <c r="B49" s="101"/>
      <c r="C49" s="101"/>
      <c r="D49" s="88"/>
      <c r="E49" s="101"/>
      <c r="F49" s="101"/>
      <c r="G49" s="88"/>
      <c r="H49" s="271">
        <f t="shared" si="1"/>
        <v>0</v>
      </c>
    </row>
    <row r="50" ht="15.75" customHeight="1">
      <c r="A50" s="270"/>
      <c r="B50" s="101"/>
      <c r="C50" s="101"/>
      <c r="D50" s="88"/>
      <c r="E50" s="101"/>
      <c r="F50" s="101"/>
      <c r="G50" s="88"/>
      <c r="H50" s="271">
        <f t="shared" si="1"/>
        <v>0</v>
      </c>
    </row>
    <row r="51" ht="15.75" customHeight="1">
      <c r="A51" s="270"/>
      <c r="B51" s="101"/>
      <c r="C51" s="101"/>
      <c r="D51" s="88"/>
      <c r="E51" s="101"/>
      <c r="F51" s="101"/>
      <c r="G51" s="88"/>
      <c r="H51" s="271">
        <f t="shared" si="1"/>
        <v>0</v>
      </c>
    </row>
    <row r="52" ht="15.75" customHeight="1">
      <c r="A52" s="270"/>
      <c r="B52" s="101"/>
      <c r="C52" s="101"/>
      <c r="D52" s="88"/>
      <c r="E52" s="101"/>
      <c r="F52" s="101"/>
      <c r="G52" s="88"/>
      <c r="H52" s="271">
        <f t="shared" si="1"/>
        <v>0</v>
      </c>
    </row>
    <row r="53" ht="15.75" customHeight="1">
      <c r="A53" s="270"/>
      <c r="B53" s="101"/>
      <c r="C53" s="101"/>
      <c r="D53" s="88"/>
      <c r="E53" s="101"/>
      <c r="F53" s="101"/>
      <c r="G53" s="88"/>
      <c r="H53" s="271">
        <f t="shared" si="1"/>
        <v>0</v>
      </c>
    </row>
    <row r="54" ht="15.75" customHeight="1">
      <c r="A54" s="270"/>
      <c r="B54" s="101"/>
      <c r="C54" s="101"/>
      <c r="D54" s="88"/>
      <c r="E54" s="101"/>
      <c r="F54" s="101"/>
      <c r="G54" s="88"/>
      <c r="H54" s="271">
        <f t="shared" si="1"/>
        <v>0</v>
      </c>
    </row>
    <row r="55" ht="15.75" customHeight="1">
      <c r="A55" s="270"/>
      <c r="B55" s="101"/>
      <c r="C55" s="101"/>
      <c r="D55" s="88"/>
      <c r="E55" s="101"/>
      <c r="F55" s="101"/>
      <c r="G55" s="88"/>
      <c r="H55" s="271">
        <f t="shared" si="1"/>
        <v>0</v>
      </c>
    </row>
    <row r="56" ht="15.75" customHeight="1">
      <c r="A56" s="270"/>
      <c r="B56" s="101"/>
      <c r="C56" s="101"/>
      <c r="D56" s="88"/>
      <c r="E56" s="101"/>
      <c r="F56" s="101"/>
      <c r="G56" s="88"/>
      <c r="H56" s="271">
        <f t="shared" si="1"/>
        <v>0</v>
      </c>
    </row>
    <row r="57" ht="15.75" customHeight="1">
      <c r="A57" s="270"/>
      <c r="B57" s="101"/>
      <c r="C57" s="101"/>
      <c r="D57" s="88"/>
      <c r="E57" s="101"/>
      <c r="F57" s="101"/>
      <c r="G57" s="88"/>
      <c r="H57" s="271">
        <f t="shared" si="1"/>
        <v>0</v>
      </c>
    </row>
    <row r="58" ht="15.75" customHeight="1">
      <c r="A58" s="270"/>
      <c r="B58" s="101"/>
      <c r="C58" s="101"/>
      <c r="D58" s="88"/>
      <c r="E58" s="101"/>
      <c r="F58" s="101"/>
      <c r="G58" s="88"/>
      <c r="H58" s="271">
        <f t="shared" si="1"/>
        <v>0</v>
      </c>
    </row>
    <row r="59" ht="15.75" customHeight="1">
      <c r="A59" s="270"/>
      <c r="B59" s="101"/>
      <c r="C59" s="101"/>
      <c r="D59" s="88"/>
      <c r="E59" s="101"/>
      <c r="F59" s="101"/>
      <c r="G59" s="88"/>
      <c r="H59" s="271">
        <f t="shared" si="1"/>
        <v>0</v>
      </c>
    </row>
    <row r="60" ht="15.75" customHeight="1">
      <c r="A60" s="270"/>
      <c r="B60" s="101"/>
      <c r="C60" s="101"/>
      <c r="D60" s="88"/>
      <c r="E60" s="101"/>
      <c r="F60" s="101"/>
      <c r="G60" s="88"/>
      <c r="H60" s="271">
        <f t="shared" si="1"/>
        <v>0</v>
      </c>
    </row>
    <row r="61" ht="15.75" customHeight="1">
      <c r="A61" s="270"/>
      <c r="B61" s="101"/>
      <c r="C61" s="101"/>
      <c r="D61" s="88"/>
      <c r="E61" s="101"/>
      <c r="F61" s="101"/>
      <c r="G61" s="88"/>
      <c r="H61" s="271">
        <f t="shared" si="1"/>
        <v>0</v>
      </c>
    </row>
    <row r="62" ht="15.75" customHeight="1">
      <c r="A62" s="270"/>
      <c r="B62" s="101"/>
      <c r="C62" s="101"/>
      <c r="D62" s="88"/>
      <c r="E62" s="101"/>
      <c r="F62" s="101"/>
      <c r="G62" s="88"/>
      <c r="H62" s="271">
        <f t="shared" si="1"/>
        <v>0</v>
      </c>
    </row>
    <row r="63" ht="15.75" customHeight="1">
      <c r="A63" s="270"/>
      <c r="B63" s="101"/>
      <c r="C63" s="101"/>
      <c r="D63" s="88"/>
      <c r="E63" s="101"/>
      <c r="F63" s="101"/>
      <c r="G63" s="88"/>
      <c r="H63" s="271">
        <f t="shared" si="1"/>
        <v>0</v>
      </c>
    </row>
    <row r="64" ht="15.75" customHeight="1">
      <c r="A64" s="270"/>
      <c r="B64" s="101"/>
      <c r="C64" s="101"/>
      <c r="D64" s="88"/>
      <c r="E64" s="101"/>
      <c r="F64" s="101"/>
      <c r="G64" s="88"/>
      <c r="H64" s="271">
        <f t="shared" si="1"/>
        <v>0</v>
      </c>
    </row>
    <row r="65" ht="15.75" customHeight="1">
      <c r="A65" s="270"/>
      <c r="B65" s="101"/>
      <c r="C65" s="101"/>
      <c r="D65" s="88"/>
      <c r="E65" s="101"/>
      <c r="F65" s="101"/>
      <c r="G65" s="88"/>
      <c r="H65" s="271">
        <f t="shared" si="1"/>
        <v>0</v>
      </c>
    </row>
    <row r="66" ht="15.75" customHeight="1">
      <c r="A66" s="270"/>
      <c r="B66" s="101"/>
      <c r="C66" s="101"/>
      <c r="D66" s="88"/>
      <c r="E66" s="101"/>
      <c r="F66" s="101"/>
      <c r="G66" s="88"/>
      <c r="H66" s="271">
        <f t="shared" si="1"/>
        <v>0</v>
      </c>
    </row>
    <row r="67" ht="15.75" customHeight="1">
      <c r="A67" s="270"/>
      <c r="B67" s="101"/>
      <c r="C67" s="101"/>
      <c r="D67" s="88"/>
      <c r="E67" s="101"/>
      <c r="F67" s="101"/>
      <c r="G67" s="88"/>
      <c r="H67" s="271">
        <f t="shared" si="1"/>
        <v>0</v>
      </c>
    </row>
    <row r="68" ht="15.75" customHeight="1">
      <c r="A68" s="270"/>
      <c r="B68" s="101"/>
      <c r="C68" s="101"/>
      <c r="D68" s="88"/>
      <c r="E68" s="101"/>
      <c r="F68" s="101"/>
      <c r="G68" s="88"/>
      <c r="H68" s="271">
        <f t="shared" si="1"/>
        <v>0</v>
      </c>
    </row>
    <row r="69" ht="15.75" customHeight="1">
      <c r="A69" s="270"/>
      <c r="B69" s="101"/>
      <c r="C69" s="101"/>
      <c r="D69" s="88"/>
      <c r="E69" s="101"/>
      <c r="F69" s="101"/>
      <c r="G69" s="88"/>
      <c r="H69" s="271">
        <f t="shared" si="1"/>
        <v>0</v>
      </c>
    </row>
    <row r="70" ht="15.75" customHeight="1">
      <c r="A70" s="270"/>
      <c r="B70" s="101"/>
      <c r="C70" s="101"/>
      <c r="D70" s="88"/>
      <c r="E70" s="101"/>
      <c r="F70" s="101"/>
      <c r="G70" s="88"/>
      <c r="H70" s="271">
        <f t="shared" si="1"/>
        <v>0</v>
      </c>
    </row>
    <row r="71" ht="15.75" customHeight="1">
      <c r="A71" s="270"/>
      <c r="B71" s="101"/>
      <c r="C71" s="101"/>
      <c r="D71" s="88"/>
      <c r="E71" s="101"/>
      <c r="F71" s="101"/>
      <c r="G71" s="88"/>
      <c r="H71" s="271">
        <f t="shared" si="1"/>
        <v>0</v>
      </c>
    </row>
    <row r="72" ht="15.75" customHeight="1">
      <c r="A72" s="270"/>
      <c r="B72" s="101"/>
      <c r="C72" s="101"/>
      <c r="D72" s="88"/>
      <c r="E72" s="101"/>
      <c r="F72" s="101"/>
      <c r="G72" s="88"/>
      <c r="H72" s="271">
        <f t="shared" si="1"/>
        <v>0</v>
      </c>
    </row>
    <row r="73" ht="15.75" customHeight="1">
      <c r="H73" s="271">
        <f t="shared" si="1"/>
        <v>0</v>
      </c>
    </row>
    <row r="74" ht="15.75" customHeight="1">
      <c r="H74" s="271">
        <f t="shared" si="1"/>
        <v>0</v>
      </c>
    </row>
    <row r="75" ht="15.75" customHeight="1">
      <c r="H75" s="271">
        <f t="shared" si="1"/>
        <v>0</v>
      </c>
    </row>
    <row r="76" ht="15.75" customHeight="1">
      <c r="H76" s="271">
        <f t="shared" si="1"/>
        <v>0</v>
      </c>
    </row>
    <row r="77" ht="15.75" customHeight="1">
      <c r="H77" s="271">
        <f t="shared" si="1"/>
        <v>0</v>
      </c>
    </row>
    <row r="78" ht="15.75" customHeight="1">
      <c r="H78" s="271">
        <f t="shared" si="1"/>
        <v>0</v>
      </c>
    </row>
    <row r="79" ht="15.75" customHeight="1">
      <c r="H79" s="271">
        <f t="shared" si="1"/>
        <v>0</v>
      </c>
    </row>
    <row r="80" ht="15.75" customHeight="1">
      <c r="H80" s="271">
        <f t="shared" si="1"/>
        <v>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12:L12"/>
    <mergeCell ref="J13:N14"/>
    <mergeCell ref="I35:I36"/>
    <mergeCell ref="A1:A2"/>
    <mergeCell ref="B1:B2"/>
    <mergeCell ref="C1:C2"/>
    <mergeCell ref="D1:D2"/>
    <mergeCell ref="E1:E2"/>
    <mergeCell ref="F1:F2"/>
    <mergeCell ref="G1:H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5" width="12.63"/>
    <col customWidth="1" min="6" max="6" width="13.5"/>
    <col customWidth="1" min="12" max="12" width="4.38"/>
    <col customWidth="1" min="13" max="13" width="24.38"/>
    <col customWidth="1" min="14" max="14" width="24.5"/>
  </cols>
  <sheetData>
    <row r="1" ht="15.75" customHeight="1">
      <c r="A1" s="277" t="s">
        <v>174</v>
      </c>
      <c r="B1" s="278" t="s">
        <v>319</v>
      </c>
      <c r="C1" s="69"/>
      <c r="D1" s="69"/>
      <c r="E1" s="71"/>
      <c r="F1" s="266" t="s">
        <v>320</v>
      </c>
      <c r="G1" s="69"/>
      <c r="H1" s="69"/>
      <c r="I1" s="71"/>
      <c r="J1" s="266" t="s">
        <v>121</v>
      </c>
      <c r="K1" s="71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ht="15.75" customHeight="1">
      <c r="A2" s="49"/>
      <c r="B2" s="279" t="s">
        <v>321</v>
      </c>
      <c r="C2" s="279" t="s">
        <v>322</v>
      </c>
      <c r="D2" s="279" t="s">
        <v>323</v>
      </c>
      <c r="E2" s="279" t="s">
        <v>324</v>
      </c>
      <c r="F2" s="279" t="s">
        <v>325</v>
      </c>
      <c r="G2" s="279" t="s">
        <v>326</v>
      </c>
      <c r="H2" s="279" t="s">
        <v>327</v>
      </c>
      <c r="I2" s="279" t="s">
        <v>328</v>
      </c>
      <c r="J2" s="268" t="s">
        <v>127</v>
      </c>
      <c r="K2" s="268" t="s">
        <v>128</v>
      </c>
      <c r="L2" s="73"/>
      <c r="M2" s="269" t="s">
        <v>94</v>
      </c>
      <c r="N2" s="269" t="s">
        <v>95</v>
      </c>
      <c r="O2" s="269" t="s">
        <v>96</v>
      </c>
      <c r="P2" s="269" t="s">
        <v>98</v>
      </c>
      <c r="Q2" s="280" t="s">
        <v>329</v>
      </c>
      <c r="R2" s="273" t="s">
        <v>330</v>
      </c>
      <c r="S2" s="69"/>
      <c r="T2" s="71"/>
      <c r="U2" s="73"/>
      <c r="V2" s="73"/>
      <c r="W2" s="73"/>
      <c r="X2" s="73"/>
      <c r="Y2" s="73"/>
    </row>
    <row r="3" ht="18.75" customHeight="1">
      <c r="A3" s="281">
        <v>45695.0</v>
      </c>
      <c r="B3" s="271">
        <v>14.0</v>
      </c>
      <c r="C3" s="271">
        <v>6.0</v>
      </c>
      <c r="D3" s="271"/>
      <c r="E3" s="282">
        <v>1.0</v>
      </c>
      <c r="F3" s="282">
        <v>2.0</v>
      </c>
      <c r="G3" s="282">
        <v>1.0</v>
      </c>
      <c r="H3" s="282">
        <v>1.0</v>
      </c>
      <c r="I3" s="282"/>
      <c r="J3" s="88">
        <f>B3*$N$3+C3*$N$4+D3*$N$5+E3*$N$6+F3*$N$7+G3*$N$8+H3*$N$9+I3*$N$10</f>
        <v>7956.5976</v>
      </c>
      <c r="K3" s="271"/>
      <c r="L3" s="73"/>
      <c r="M3" s="283" t="s">
        <v>331</v>
      </c>
      <c r="N3" s="284">
        <v>252.0</v>
      </c>
      <c r="O3" s="285">
        <f t="shared" ref="O3:O4" si="1">N3/6</f>
        <v>42</v>
      </c>
      <c r="P3" s="286">
        <f t="shared" ref="P3:P4" si="2">O3*1.3</f>
        <v>54.6</v>
      </c>
      <c r="Q3" s="284">
        <v>55.0</v>
      </c>
      <c r="R3" s="273" t="s">
        <v>332</v>
      </c>
      <c r="S3" s="69"/>
      <c r="T3" s="71"/>
      <c r="U3" s="73"/>
      <c r="V3" s="73"/>
      <c r="W3" s="73"/>
      <c r="X3" s="73"/>
      <c r="Y3" s="73"/>
    </row>
    <row r="4" ht="18.75" customHeight="1">
      <c r="A4" s="281"/>
      <c r="B4" s="271"/>
      <c r="C4" s="271"/>
      <c r="D4" s="271"/>
      <c r="E4" s="282"/>
      <c r="F4" s="282"/>
      <c r="G4" s="282"/>
      <c r="H4" s="282"/>
      <c r="I4" s="282"/>
      <c r="J4" s="88"/>
      <c r="K4" s="282"/>
      <c r="L4" s="73"/>
      <c r="M4" s="287" t="s">
        <v>333</v>
      </c>
      <c r="N4" s="288">
        <v>285.0</v>
      </c>
      <c r="O4" s="289">
        <f t="shared" si="1"/>
        <v>47.5</v>
      </c>
      <c r="P4" s="290">
        <f t="shared" si="2"/>
        <v>61.75</v>
      </c>
      <c r="Q4" s="288">
        <v>65.0</v>
      </c>
      <c r="R4" s="73"/>
      <c r="S4" s="73"/>
      <c r="T4" s="73"/>
      <c r="U4" s="73"/>
      <c r="V4" s="73"/>
      <c r="W4" s="73"/>
      <c r="X4" s="73"/>
      <c r="Y4" s="73"/>
    </row>
    <row r="5" ht="18.75" customHeight="1">
      <c r="A5" s="281"/>
      <c r="B5" s="271"/>
      <c r="C5" s="271"/>
      <c r="D5" s="271"/>
      <c r="E5" s="282"/>
      <c r="F5" s="282"/>
      <c r="G5" s="282"/>
      <c r="H5" s="282"/>
      <c r="I5" s="282"/>
      <c r="J5" s="88"/>
      <c r="K5" s="282"/>
      <c r="L5" s="73"/>
      <c r="M5" s="86" t="s">
        <v>323</v>
      </c>
      <c r="N5" s="30"/>
      <c r="O5" s="291"/>
      <c r="P5" s="292"/>
      <c r="Q5" s="30"/>
      <c r="R5" s="73"/>
      <c r="S5" s="73"/>
      <c r="T5" s="73"/>
      <c r="U5" s="73"/>
      <c r="V5" s="73"/>
      <c r="W5" s="73"/>
      <c r="X5" s="73"/>
      <c r="Y5" s="73"/>
    </row>
    <row r="6" ht="18.75" customHeight="1">
      <c r="A6" s="281"/>
      <c r="B6" s="271"/>
      <c r="C6" s="271"/>
      <c r="D6" s="271"/>
      <c r="E6" s="293"/>
      <c r="F6" s="293"/>
      <c r="G6" s="293"/>
      <c r="H6" s="293"/>
      <c r="I6" s="293"/>
      <c r="J6" s="88"/>
      <c r="K6" s="282"/>
      <c r="L6" s="73"/>
      <c r="M6" s="294" t="s">
        <v>334</v>
      </c>
      <c r="N6" s="295">
        <v>269.0</v>
      </c>
      <c r="O6" s="296">
        <f>N6/6</f>
        <v>44.83333333</v>
      </c>
      <c r="P6" s="297">
        <f t="shared" ref="P6:P9" si="3">O6*1.3</f>
        <v>58.28333333</v>
      </c>
      <c r="Q6" s="295">
        <v>60.0</v>
      </c>
      <c r="R6" s="73"/>
      <c r="S6" s="73"/>
      <c r="T6" s="73"/>
      <c r="U6" s="73"/>
      <c r="V6" s="73"/>
      <c r="W6" s="73"/>
      <c r="X6" s="73"/>
      <c r="Y6" s="73"/>
    </row>
    <row r="7" ht="18.75" customHeight="1">
      <c r="A7" s="281"/>
      <c r="B7" s="298"/>
      <c r="C7" s="299"/>
      <c r="D7" s="300"/>
      <c r="E7" s="301"/>
      <c r="F7" s="300"/>
      <c r="G7" s="302"/>
      <c r="H7" s="302"/>
      <c r="I7" s="302"/>
      <c r="J7" s="88"/>
      <c r="K7" s="282"/>
      <c r="L7" s="73"/>
      <c r="M7" s="283" t="s">
        <v>335</v>
      </c>
      <c r="N7" s="284">
        <f>58*12</f>
        <v>696</v>
      </c>
      <c r="O7" s="285">
        <f t="shared" ref="O7:O9" si="4">N7/12</f>
        <v>58</v>
      </c>
      <c r="P7" s="286">
        <f t="shared" si="3"/>
        <v>75.4</v>
      </c>
      <c r="Q7" s="284">
        <v>75.0</v>
      </c>
      <c r="R7" s="73"/>
      <c r="S7" s="73"/>
      <c r="T7" s="73"/>
      <c r="U7" s="73"/>
      <c r="V7" s="73"/>
      <c r="W7" s="73"/>
      <c r="X7" s="73"/>
      <c r="Y7" s="73"/>
    </row>
    <row r="8" ht="18.75" customHeight="1">
      <c r="A8" s="281"/>
      <c r="B8" s="271"/>
      <c r="C8" s="271"/>
      <c r="D8" s="271"/>
      <c r="E8" s="282"/>
      <c r="F8" s="282"/>
      <c r="G8" s="282"/>
      <c r="H8" s="282"/>
      <c r="I8" s="282"/>
      <c r="J8" s="88"/>
      <c r="K8" s="282"/>
      <c r="L8" s="73"/>
      <c r="M8" s="283" t="s">
        <v>336</v>
      </c>
      <c r="N8" s="284">
        <f>50*12</f>
        <v>600</v>
      </c>
      <c r="O8" s="285">
        <f t="shared" si="4"/>
        <v>50</v>
      </c>
      <c r="P8" s="286">
        <f t="shared" si="3"/>
        <v>65</v>
      </c>
      <c r="Q8" s="284">
        <v>65.0</v>
      </c>
      <c r="R8" s="73"/>
      <c r="S8" s="73"/>
      <c r="T8" s="73"/>
      <c r="U8" s="73"/>
      <c r="V8" s="73"/>
      <c r="W8" s="73"/>
      <c r="X8" s="73"/>
      <c r="Y8" s="73"/>
    </row>
    <row r="9" ht="18.75" customHeight="1">
      <c r="A9" s="281"/>
      <c r="B9" s="271"/>
      <c r="C9" s="271"/>
      <c r="D9" s="271"/>
      <c r="E9" s="282"/>
      <c r="F9" s="282"/>
      <c r="G9" s="282"/>
      <c r="H9" s="282"/>
      <c r="I9" s="282"/>
      <c r="J9" s="88"/>
      <c r="K9" s="303"/>
      <c r="L9" s="73"/>
      <c r="M9" s="304" t="s">
        <v>337</v>
      </c>
      <c r="N9" s="305">
        <v>457.5976</v>
      </c>
      <c r="O9" s="306">
        <f t="shared" si="4"/>
        <v>38.13313333</v>
      </c>
      <c r="P9" s="307">
        <f t="shared" si="3"/>
        <v>49.57307333</v>
      </c>
      <c r="Q9" s="305">
        <v>50.0</v>
      </c>
      <c r="R9" s="73"/>
      <c r="S9" s="73"/>
      <c r="U9" s="73"/>
      <c r="V9" s="73"/>
      <c r="W9" s="73"/>
      <c r="X9" s="73"/>
      <c r="Y9" s="73"/>
    </row>
    <row r="10" ht="18.75" customHeight="1">
      <c r="A10" s="281"/>
      <c r="B10" s="271"/>
      <c r="C10" s="271"/>
      <c r="D10" s="271"/>
      <c r="E10" s="282"/>
      <c r="F10" s="282"/>
      <c r="G10" s="282"/>
      <c r="H10" s="282"/>
      <c r="I10" s="282"/>
      <c r="J10" s="88"/>
      <c r="K10" s="282"/>
      <c r="L10" s="73"/>
      <c r="M10" s="86" t="s">
        <v>338</v>
      </c>
      <c r="N10" s="30"/>
      <c r="O10" s="291"/>
      <c r="P10" s="292"/>
      <c r="Q10" s="30"/>
      <c r="R10" s="73"/>
      <c r="S10" s="73"/>
      <c r="T10" s="73"/>
      <c r="U10" s="73"/>
      <c r="V10" s="73"/>
      <c r="W10" s="73"/>
      <c r="X10" s="73"/>
      <c r="Y10" s="73"/>
    </row>
    <row r="11" ht="18.75" customHeight="1">
      <c r="A11" s="281"/>
      <c r="B11" s="271"/>
      <c r="C11" s="271"/>
      <c r="D11" s="271"/>
      <c r="E11" s="282"/>
      <c r="F11" s="282"/>
      <c r="G11" s="282"/>
      <c r="H11" s="282"/>
      <c r="I11" s="282"/>
      <c r="J11" s="88"/>
      <c r="K11" s="282"/>
      <c r="L11" s="73"/>
      <c r="R11" s="73"/>
      <c r="S11" s="73"/>
      <c r="T11" s="73"/>
      <c r="U11" s="73"/>
      <c r="V11" s="73"/>
      <c r="W11" s="73"/>
      <c r="X11" s="73"/>
      <c r="Y11" s="73"/>
    </row>
    <row r="12" ht="18.75" customHeight="1">
      <c r="A12" s="281"/>
      <c r="B12" s="271"/>
      <c r="C12" s="271"/>
      <c r="D12" s="271"/>
      <c r="E12" s="282"/>
      <c r="F12" s="282"/>
      <c r="G12" s="282"/>
      <c r="H12" s="282"/>
      <c r="I12" s="282"/>
      <c r="J12" s="88"/>
      <c r="K12" s="282"/>
      <c r="L12" s="73"/>
      <c r="R12" s="73"/>
      <c r="S12" s="73"/>
      <c r="T12" s="73"/>
      <c r="U12" s="73"/>
      <c r="V12" s="73"/>
      <c r="W12" s="73"/>
      <c r="X12" s="73"/>
      <c r="Y12" s="73"/>
    </row>
    <row r="13" ht="18.75" customHeight="1">
      <c r="A13" s="281"/>
      <c r="B13" s="271"/>
      <c r="C13" s="271"/>
      <c r="D13" s="271"/>
      <c r="E13" s="282"/>
      <c r="F13" s="282"/>
      <c r="G13" s="282"/>
      <c r="H13" s="282"/>
      <c r="I13" s="282"/>
      <c r="J13" s="88"/>
      <c r="K13" s="282"/>
      <c r="L13" s="73"/>
      <c r="R13" s="73"/>
      <c r="S13" s="73"/>
      <c r="T13" s="73"/>
      <c r="U13" s="73"/>
      <c r="V13" s="73"/>
      <c r="W13" s="73"/>
      <c r="X13" s="73"/>
      <c r="Y13" s="73"/>
    </row>
    <row r="14" ht="18.75" customHeight="1">
      <c r="A14" s="281"/>
      <c r="B14" s="271"/>
      <c r="C14" s="271"/>
      <c r="D14" s="271"/>
      <c r="E14" s="282"/>
      <c r="F14" s="282"/>
      <c r="G14" s="282"/>
      <c r="H14" s="282"/>
      <c r="I14" s="282"/>
      <c r="J14" s="88"/>
      <c r="K14" s="282"/>
      <c r="L14" s="73"/>
      <c r="R14" s="73"/>
      <c r="S14" s="73"/>
      <c r="T14" s="73"/>
      <c r="U14" s="73"/>
      <c r="V14" s="73"/>
      <c r="W14" s="73"/>
      <c r="X14" s="73"/>
      <c r="Y14" s="73"/>
    </row>
    <row r="15" ht="18.75" customHeight="1">
      <c r="A15" s="281"/>
      <c r="B15" s="271"/>
      <c r="C15" s="271"/>
      <c r="D15" s="271"/>
      <c r="E15" s="282"/>
      <c r="F15" s="282"/>
      <c r="G15" s="282"/>
      <c r="H15" s="282"/>
      <c r="I15" s="282"/>
      <c r="J15" s="88"/>
      <c r="K15" s="282"/>
      <c r="L15" s="73"/>
      <c r="R15" s="73"/>
      <c r="V15" s="73"/>
      <c r="W15" s="73"/>
      <c r="X15" s="73"/>
      <c r="Y15" s="73"/>
    </row>
    <row r="16" ht="18.75" customHeight="1">
      <c r="A16" s="281"/>
      <c r="B16" s="271"/>
      <c r="C16" s="271"/>
      <c r="D16" s="271"/>
      <c r="E16" s="282"/>
      <c r="F16" s="282"/>
      <c r="G16" s="282"/>
      <c r="H16" s="282"/>
      <c r="I16" s="282"/>
      <c r="J16" s="88"/>
      <c r="K16" s="282"/>
      <c r="L16" s="73"/>
      <c r="R16" s="73"/>
      <c r="W16" s="73"/>
      <c r="X16" s="73"/>
      <c r="Y16" s="73"/>
    </row>
    <row r="17" ht="18.75" customHeight="1">
      <c r="A17" s="281"/>
      <c r="B17" s="271"/>
      <c r="C17" s="271"/>
      <c r="D17" s="271"/>
      <c r="E17" s="282"/>
      <c r="F17" s="282"/>
      <c r="G17" s="282"/>
      <c r="H17" s="282"/>
      <c r="I17" s="282"/>
      <c r="J17" s="88"/>
      <c r="K17" s="282"/>
      <c r="L17" s="73"/>
      <c r="R17" s="73"/>
      <c r="S17" s="73"/>
      <c r="T17" s="73"/>
      <c r="U17" s="73"/>
      <c r="V17" s="73"/>
      <c r="W17" s="73"/>
      <c r="X17" s="73"/>
      <c r="Y17" s="73"/>
    </row>
    <row r="18" ht="18.75" customHeight="1">
      <c r="A18" s="281"/>
      <c r="B18" s="271"/>
      <c r="C18" s="271"/>
      <c r="D18" s="271"/>
      <c r="E18" s="282"/>
      <c r="F18" s="282"/>
      <c r="G18" s="282"/>
      <c r="H18" s="282"/>
      <c r="I18" s="282"/>
      <c r="J18" s="88"/>
      <c r="K18" s="282"/>
      <c r="L18" s="73"/>
      <c r="R18" s="73"/>
      <c r="S18" s="73"/>
      <c r="T18" s="73"/>
      <c r="U18" s="73"/>
      <c r="V18" s="73"/>
      <c r="W18" s="73"/>
      <c r="X18" s="73"/>
      <c r="Y18" s="73"/>
    </row>
    <row r="19" ht="18.75" customHeight="1">
      <c r="A19" s="281"/>
      <c r="B19" s="271"/>
      <c r="C19" s="271"/>
      <c r="D19" s="271"/>
      <c r="E19" s="282"/>
      <c r="F19" s="282"/>
      <c r="G19" s="282"/>
      <c r="H19" s="282"/>
      <c r="I19" s="282"/>
      <c r="J19" s="88"/>
      <c r="K19" s="282"/>
      <c r="L19" s="73"/>
      <c r="R19" s="73"/>
      <c r="S19" s="73"/>
      <c r="T19" s="73"/>
      <c r="U19" s="73"/>
      <c r="V19" s="73"/>
      <c r="W19" s="73"/>
      <c r="X19" s="73"/>
      <c r="Y19" s="73"/>
    </row>
    <row r="20" ht="18.75" customHeight="1">
      <c r="A20" s="281"/>
      <c r="B20" s="271"/>
      <c r="C20" s="271"/>
      <c r="D20" s="271"/>
      <c r="E20" s="282"/>
      <c r="F20" s="282"/>
      <c r="G20" s="282"/>
      <c r="H20" s="282"/>
      <c r="I20" s="282"/>
      <c r="J20" s="88"/>
      <c r="K20" s="282"/>
      <c r="L20" s="73"/>
      <c r="R20" s="73"/>
      <c r="S20" s="73"/>
      <c r="T20" s="73"/>
      <c r="U20" s="73"/>
      <c r="V20" s="73"/>
      <c r="W20" s="73"/>
      <c r="X20" s="73"/>
      <c r="Y20" s="73"/>
    </row>
    <row r="21" ht="18.75" customHeight="1">
      <c r="A21" s="281"/>
      <c r="B21" s="271"/>
      <c r="C21" s="271"/>
      <c r="D21" s="271"/>
      <c r="E21" s="282"/>
      <c r="F21" s="282"/>
      <c r="G21" s="282"/>
      <c r="H21" s="282"/>
      <c r="I21" s="282"/>
      <c r="J21" s="88"/>
      <c r="K21" s="303"/>
      <c r="L21" s="73"/>
      <c r="R21" s="73"/>
      <c r="S21" s="73"/>
      <c r="T21" s="73"/>
      <c r="U21" s="73"/>
      <c r="V21" s="73"/>
      <c r="W21" s="73"/>
      <c r="X21" s="73"/>
      <c r="Y21" s="73"/>
    </row>
    <row r="22" ht="18.75" customHeight="1">
      <c r="A22" s="281"/>
      <c r="B22" s="271"/>
      <c r="C22" s="271"/>
      <c r="D22" s="271"/>
      <c r="E22" s="282"/>
      <c r="F22" s="282"/>
      <c r="G22" s="282"/>
      <c r="H22" s="282"/>
      <c r="I22" s="282"/>
      <c r="J22" s="88"/>
      <c r="K22" s="282"/>
      <c r="L22" s="73"/>
      <c r="N22" s="308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</row>
    <row r="23" ht="18.75" customHeight="1">
      <c r="A23" s="281"/>
      <c r="B23" s="271"/>
      <c r="C23" s="271"/>
      <c r="D23" s="271"/>
      <c r="E23" s="282"/>
      <c r="F23" s="282"/>
      <c r="G23" s="282"/>
      <c r="H23" s="282"/>
      <c r="I23" s="282"/>
      <c r="J23" s="88"/>
      <c r="K23" s="282"/>
      <c r="L23" s="73"/>
      <c r="N23" s="308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</row>
    <row r="24" ht="18.75" customHeight="1">
      <c r="A24" s="281"/>
      <c r="B24" s="271"/>
      <c r="C24" s="271"/>
      <c r="D24" s="271"/>
      <c r="E24" s="282"/>
      <c r="F24" s="282"/>
      <c r="G24" s="282"/>
      <c r="H24" s="282"/>
      <c r="I24" s="282"/>
      <c r="J24" s="88"/>
      <c r="K24" s="282"/>
      <c r="L24" s="73"/>
      <c r="N24" s="308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</row>
    <row r="25" ht="18.75" customHeight="1">
      <c r="A25" s="281"/>
      <c r="B25" s="271"/>
      <c r="C25" s="271"/>
      <c r="D25" s="271"/>
      <c r="E25" s="282"/>
      <c r="F25" s="282"/>
      <c r="G25" s="282"/>
      <c r="H25" s="282"/>
      <c r="I25" s="282"/>
      <c r="J25" s="88"/>
      <c r="K25" s="303"/>
      <c r="L25" s="73"/>
      <c r="N25" s="308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</row>
    <row r="26" ht="15.75" customHeight="1">
      <c r="A26" s="281"/>
      <c r="B26" s="271"/>
      <c r="C26" s="271"/>
      <c r="D26" s="271"/>
      <c r="E26" s="282"/>
      <c r="F26" s="282"/>
      <c r="G26" s="282"/>
      <c r="H26" s="282"/>
      <c r="I26" s="282"/>
      <c r="J26" s="88"/>
      <c r="K26" s="282"/>
      <c r="L26" s="73"/>
      <c r="N26" s="308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</row>
    <row r="27" ht="15.75" customHeight="1">
      <c r="A27" s="281"/>
      <c r="B27" s="271"/>
      <c r="C27" s="271"/>
      <c r="D27" s="271"/>
      <c r="E27" s="282"/>
      <c r="F27" s="282"/>
      <c r="G27" s="282"/>
      <c r="H27" s="282"/>
      <c r="I27" s="282"/>
      <c r="J27" s="88"/>
      <c r="K27" s="282"/>
      <c r="L27" s="73"/>
      <c r="N27" s="308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</row>
    <row r="28" ht="15.75" customHeight="1">
      <c r="A28" s="281"/>
      <c r="B28" s="271"/>
      <c r="C28" s="271"/>
      <c r="D28" s="271"/>
      <c r="E28" s="282"/>
      <c r="F28" s="282"/>
      <c r="G28" s="282"/>
      <c r="H28" s="282"/>
      <c r="I28" s="282"/>
      <c r="J28" s="88"/>
      <c r="K28" s="282"/>
      <c r="L28" s="73"/>
      <c r="N28" s="308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</row>
    <row r="29" ht="15.75" customHeight="1">
      <c r="A29" s="281"/>
      <c r="B29" s="271"/>
      <c r="C29" s="271"/>
      <c r="D29" s="271"/>
      <c r="E29" s="282"/>
      <c r="F29" s="282"/>
      <c r="G29" s="282"/>
      <c r="H29" s="282"/>
      <c r="I29" s="282"/>
      <c r="J29" s="88"/>
      <c r="K29" s="282"/>
      <c r="L29" s="73"/>
      <c r="N29" s="308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</row>
    <row r="30" ht="15.75" customHeight="1">
      <c r="A30" s="281"/>
      <c r="B30" s="271"/>
      <c r="C30" s="271"/>
      <c r="D30" s="271"/>
      <c r="E30" s="282"/>
      <c r="F30" s="282"/>
      <c r="G30" s="282"/>
      <c r="H30" s="282"/>
      <c r="I30" s="282"/>
      <c r="J30" s="88"/>
      <c r="K30" s="282"/>
      <c r="L30" s="73"/>
      <c r="N30" s="308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</row>
    <row r="31" ht="15.75" customHeight="1">
      <c r="A31" s="281"/>
      <c r="B31" s="271"/>
      <c r="C31" s="271"/>
      <c r="D31" s="271"/>
      <c r="E31" s="282"/>
      <c r="F31" s="282"/>
      <c r="G31" s="282"/>
      <c r="H31" s="282"/>
      <c r="I31" s="282"/>
      <c r="J31" s="88"/>
      <c r="K31" s="282"/>
      <c r="L31" s="73"/>
      <c r="N31" s="308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</row>
    <row r="32" ht="15.75" customHeight="1">
      <c r="A32" s="281"/>
      <c r="B32" s="271"/>
      <c r="C32" s="271"/>
      <c r="D32" s="271"/>
      <c r="E32" s="282"/>
      <c r="F32" s="282"/>
      <c r="G32" s="282"/>
      <c r="H32" s="282"/>
      <c r="I32" s="282"/>
      <c r="J32" s="88"/>
      <c r="K32" s="282"/>
      <c r="L32" s="73"/>
      <c r="N32" s="308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</row>
    <row r="33" ht="15.75" customHeight="1">
      <c r="A33" s="281"/>
      <c r="B33" s="271"/>
      <c r="C33" s="271"/>
      <c r="D33" s="271"/>
      <c r="E33" s="282"/>
      <c r="F33" s="282"/>
      <c r="G33" s="282"/>
      <c r="H33" s="282"/>
      <c r="I33" s="282"/>
      <c r="J33" s="88"/>
      <c r="K33" s="282"/>
      <c r="L33" s="73"/>
      <c r="N33" s="308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</row>
    <row r="34" ht="15.75" customHeight="1">
      <c r="A34" s="281"/>
      <c r="B34" s="271"/>
      <c r="C34" s="271"/>
      <c r="D34" s="271"/>
      <c r="E34" s="282"/>
      <c r="F34" s="282"/>
      <c r="G34" s="282"/>
      <c r="H34" s="282"/>
      <c r="I34" s="282"/>
      <c r="J34" s="88"/>
      <c r="K34" s="282"/>
      <c r="L34" s="73"/>
      <c r="N34" s="308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</row>
    <row r="35" ht="15.75" customHeight="1">
      <c r="A35" s="281"/>
      <c r="B35" s="271"/>
      <c r="C35" s="271"/>
      <c r="D35" s="271"/>
      <c r="E35" s="282"/>
      <c r="F35" s="282"/>
      <c r="G35" s="282"/>
      <c r="H35" s="282"/>
      <c r="I35" s="282"/>
      <c r="J35" s="88"/>
      <c r="K35" s="282"/>
      <c r="L35" s="73"/>
      <c r="N35" s="308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</row>
    <row r="36" ht="15.75" customHeight="1">
      <c r="A36" s="281"/>
      <c r="B36" s="271"/>
      <c r="C36" s="271"/>
      <c r="D36" s="271"/>
      <c r="E36" s="282"/>
      <c r="F36" s="282"/>
      <c r="G36" s="282"/>
      <c r="H36" s="282"/>
      <c r="I36" s="282"/>
      <c r="J36" s="88"/>
      <c r="K36" s="282"/>
      <c r="L36" s="73"/>
      <c r="N36" s="308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ht="15.75" customHeight="1">
      <c r="A37" s="281"/>
      <c r="B37" s="271"/>
      <c r="C37" s="271"/>
      <c r="D37" s="271"/>
      <c r="E37" s="282"/>
      <c r="F37" s="282"/>
      <c r="G37" s="282"/>
      <c r="H37" s="282"/>
      <c r="I37" s="282"/>
      <c r="J37" s="88"/>
      <c r="K37" s="282"/>
      <c r="L37" s="73"/>
      <c r="N37" s="308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</row>
    <row r="38" ht="15.75" customHeight="1">
      <c r="A38" s="281"/>
      <c r="B38" s="271"/>
      <c r="C38" s="271"/>
      <c r="D38" s="271"/>
      <c r="E38" s="282"/>
      <c r="F38" s="282"/>
      <c r="G38" s="282"/>
      <c r="H38" s="282"/>
      <c r="I38" s="282"/>
      <c r="J38" s="88"/>
      <c r="K38" s="282"/>
      <c r="L38" s="73"/>
      <c r="N38" s="308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</row>
    <row r="39" ht="15.75" customHeight="1">
      <c r="A39" s="281"/>
      <c r="B39" s="271"/>
      <c r="C39" s="271"/>
      <c r="D39" s="271"/>
      <c r="E39" s="282"/>
      <c r="F39" s="282"/>
      <c r="G39" s="282"/>
      <c r="H39" s="282"/>
      <c r="I39" s="282"/>
      <c r="J39" s="88"/>
      <c r="K39" s="282"/>
      <c r="L39" s="73"/>
      <c r="N39" s="308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</row>
    <row r="40" ht="15.75" customHeight="1">
      <c r="A40" s="281"/>
      <c r="B40" s="271"/>
      <c r="C40" s="271"/>
      <c r="D40" s="271"/>
      <c r="E40" s="282"/>
      <c r="F40" s="282"/>
      <c r="G40" s="282"/>
      <c r="H40" s="282"/>
      <c r="I40" s="282"/>
      <c r="J40" s="88"/>
      <c r="K40" s="282"/>
      <c r="L40" s="73"/>
      <c r="N40" s="308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</row>
    <row r="41" ht="15.75" customHeight="1">
      <c r="A41" s="281"/>
      <c r="B41" s="271"/>
      <c r="C41" s="271"/>
      <c r="D41" s="271"/>
      <c r="E41" s="282"/>
      <c r="F41" s="282"/>
      <c r="G41" s="282"/>
      <c r="H41" s="282"/>
      <c r="I41" s="282"/>
      <c r="J41" s="88"/>
      <c r="K41" s="282"/>
      <c r="L41" s="73"/>
      <c r="N41" s="308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</row>
    <row r="42" ht="15.75" customHeight="1">
      <c r="A42" s="120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N42" s="308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</row>
    <row r="43" ht="15.75" customHeight="1">
      <c r="A43" s="120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N43" s="308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  <row r="44" ht="15.75" customHeight="1">
      <c r="A44" s="120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N44" s="308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</row>
    <row r="45" ht="15.75" customHeight="1">
      <c r="A45" s="120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N45" s="308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</row>
    <row r="46" ht="15.75" customHeight="1">
      <c r="A46" s="120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N46" s="308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</row>
    <row r="47" ht="15.75" customHeight="1">
      <c r="A47" s="120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N47" s="308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</row>
    <row r="48" ht="15.75" customHeight="1">
      <c r="A48" s="120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N48" s="308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</row>
    <row r="49" ht="15.75" customHeight="1">
      <c r="A49" s="120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N49" s="308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  <row r="50" ht="15.75" customHeight="1">
      <c r="A50" s="120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N50" s="308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</row>
    <row r="51" ht="15.75" customHeight="1">
      <c r="A51" s="120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N51" s="308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</row>
    <row r="52" ht="15.75" customHeight="1">
      <c r="A52" s="120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N52" s="308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</row>
    <row r="53" ht="15.75" customHeight="1">
      <c r="A53" s="120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N53" s="308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</row>
    <row r="54" ht="15.75" customHeight="1">
      <c r="A54" s="120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N54" s="308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</row>
    <row r="55" ht="15.75" customHeight="1">
      <c r="A55" s="120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N55" s="308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</row>
    <row r="56" ht="15.75" customHeight="1">
      <c r="A56" s="120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N56" s="308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</row>
    <row r="57" ht="15.75" customHeight="1">
      <c r="A57" s="120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N57" s="308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</row>
    <row r="58" ht="15.75" customHeight="1">
      <c r="A58" s="120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</row>
    <row r="59" ht="15.75" customHeight="1">
      <c r="A59" s="120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</row>
    <row r="60" ht="15.75" customHeight="1">
      <c r="A60" s="120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</row>
    <row r="61" ht="15.75" customHeight="1">
      <c r="A61" s="120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</row>
    <row r="62" ht="15.75" customHeight="1">
      <c r="A62" s="120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ht="15.75" customHeight="1">
      <c r="A63" s="120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ht="15.75" customHeight="1">
      <c r="A64" s="120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ht="15.75" customHeight="1">
      <c r="A65" s="120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ht="15.75" customHeight="1">
      <c r="A66" s="120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</row>
    <row r="67" ht="15.75" customHeight="1">
      <c r="A67" s="120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</row>
    <row r="68" ht="15.75" customHeight="1">
      <c r="A68" s="120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</row>
    <row r="69" ht="15.75" customHeight="1">
      <c r="A69" s="120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</row>
    <row r="70" ht="15.75" customHeight="1">
      <c r="A70" s="120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</row>
    <row r="71" ht="15.75" customHeight="1">
      <c r="A71" s="120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</row>
    <row r="72" ht="15.75" customHeight="1">
      <c r="A72" s="120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</row>
    <row r="73" ht="15.75" customHeight="1">
      <c r="A73" s="120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</row>
    <row r="74" ht="15.75" customHeight="1">
      <c r="A74" s="120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</row>
    <row r="75" ht="15.75" customHeight="1">
      <c r="A75" s="120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</row>
    <row r="76" ht="15.75" customHeight="1">
      <c r="A76" s="120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</row>
    <row r="77" ht="15.75" customHeight="1">
      <c r="A77" s="120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</row>
    <row r="78" ht="15.75" customHeight="1">
      <c r="A78" s="120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</row>
    <row r="79" ht="15.75" customHeight="1">
      <c r="A79" s="120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</row>
    <row r="80" ht="15.75" customHeight="1">
      <c r="A80" s="120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E1"/>
    <mergeCell ref="F1:I1"/>
    <mergeCell ref="J1:K1"/>
    <mergeCell ref="R2:T2"/>
    <mergeCell ref="R3:T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5"/>
    <col customWidth="1" min="3" max="6" width="12.63"/>
  </cols>
  <sheetData>
    <row r="1" ht="15.75" customHeight="1">
      <c r="A1" s="309" t="s">
        <v>119</v>
      </c>
      <c r="B1" s="68" t="s">
        <v>120</v>
      </c>
      <c r="C1" s="70" t="s">
        <v>121</v>
      </c>
      <c r="D1" s="71"/>
    </row>
    <row r="2" ht="15.75" customHeight="1">
      <c r="A2" s="49"/>
      <c r="B2" s="158" t="str">
        <f>G2</f>
        <v>Alfajor Sierra de Minas Chocolate o Nieve</v>
      </c>
      <c r="C2" s="258" t="s">
        <v>127</v>
      </c>
      <c r="D2" s="258" t="s">
        <v>128</v>
      </c>
      <c r="G2" s="34" t="s">
        <v>339</v>
      </c>
    </row>
    <row r="3" ht="15.75" customHeight="1">
      <c r="A3" s="206" t="s">
        <v>340</v>
      </c>
      <c r="B3" s="101">
        <v>2.0</v>
      </c>
      <c r="C3" s="101">
        <f>B3*G3</f>
        <v>1386</v>
      </c>
      <c r="D3" s="101"/>
      <c r="F3" s="310" t="s">
        <v>95</v>
      </c>
      <c r="G3" s="26">
        <v>693.0</v>
      </c>
    </row>
    <row r="4" ht="15.75" customHeight="1">
      <c r="A4" s="311">
        <v>45874.0</v>
      </c>
      <c r="B4" s="101">
        <v>4.0</v>
      </c>
      <c r="C4" s="101">
        <f>B4*G3</f>
        <v>2772</v>
      </c>
      <c r="D4" s="101" t="s">
        <v>139</v>
      </c>
      <c r="F4" s="310" t="s">
        <v>341</v>
      </c>
      <c r="G4" s="26">
        <f>G3/12</f>
        <v>57.75</v>
      </c>
    </row>
    <row r="5" ht="15.75" customHeight="1">
      <c r="A5" s="311"/>
      <c r="B5" s="101"/>
      <c r="C5" s="101">
        <f t="shared" ref="C5:C19" si="1">B5*G5</f>
        <v>0</v>
      </c>
      <c r="D5" s="101"/>
      <c r="F5" s="310" t="s">
        <v>342</v>
      </c>
      <c r="G5" s="26">
        <f>G4*1.3</f>
        <v>75.075</v>
      </c>
    </row>
    <row r="6" ht="15.75" customHeight="1">
      <c r="A6" s="311"/>
      <c r="B6" s="101"/>
      <c r="C6" s="101">
        <f t="shared" si="1"/>
        <v>0</v>
      </c>
      <c r="D6" s="101"/>
      <c r="F6" s="310" t="s">
        <v>176</v>
      </c>
      <c r="G6" s="26">
        <v>75.0</v>
      </c>
    </row>
    <row r="7" ht="15.75" customHeight="1">
      <c r="A7" s="311"/>
      <c r="B7" s="101"/>
      <c r="C7" s="101">
        <f t="shared" si="1"/>
        <v>0</v>
      </c>
      <c r="D7" s="101"/>
    </row>
    <row r="8" ht="15.75" customHeight="1">
      <c r="A8" s="311"/>
      <c r="B8" s="101"/>
      <c r="C8" s="101">
        <f t="shared" si="1"/>
        <v>0</v>
      </c>
      <c r="D8" s="101"/>
      <c r="F8" s="312" t="s">
        <v>343</v>
      </c>
      <c r="G8" s="312">
        <v>9.1689935E7</v>
      </c>
    </row>
    <row r="9" ht="15.75" customHeight="1">
      <c r="A9" s="311"/>
      <c r="B9" s="101"/>
      <c r="C9" s="101">
        <f t="shared" si="1"/>
        <v>0</v>
      </c>
      <c r="D9" s="101"/>
    </row>
    <row r="10" ht="15.75" customHeight="1">
      <c r="A10" s="311"/>
      <c r="B10" s="101"/>
      <c r="C10" s="101">
        <f t="shared" si="1"/>
        <v>0</v>
      </c>
      <c r="D10" s="101"/>
    </row>
    <row r="11" ht="15.75" customHeight="1">
      <c r="A11" s="311"/>
      <c r="B11" s="101"/>
      <c r="C11" s="101">
        <f t="shared" si="1"/>
        <v>0</v>
      </c>
      <c r="D11" s="101"/>
    </row>
    <row r="12" ht="15.75" customHeight="1">
      <c r="A12" s="311"/>
      <c r="B12" s="101"/>
      <c r="C12" s="101">
        <f t="shared" si="1"/>
        <v>0</v>
      </c>
      <c r="D12" s="101"/>
    </row>
    <row r="13" ht="15.75" customHeight="1">
      <c r="A13" s="311"/>
      <c r="B13" s="101"/>
      <c r="C13" s="101">
        <f t="shared" si="1"/>
        <v>0</v>
      </c>
      <c r="D13" s="101"/>
    </row>
    <row r="14" ht="15.75" customHeight="1">
      <c r="A14" s="311"/>
      <c r="B14" s="101"/>
      <c r="C14" s="101">
        <f t="shared" si="1"/>
        <v>0</v>
      </c>
      <c r="D14" s="101"/>
    </row>
    <row r="15" ht="15.75" customHeight="1">
      <c r="A15" s="311"/>
      <c r="B15" s="101"/>
      <c r="C15" s="101">
        <f t="shared" si="1"/>
        <v>0</v>
      </c>
      <c r="D15" s="101"/>
    </row>
    <row r="16" ht="15.75" customHeight="1">
      <c r="A16" s="311"/>
      <c r="B16" s="101"/>
      <c r="C16" s="101">
        <f t="shared" si="1"/>
        <v>0</v>
      </c>
      <c r="D16" s="101"/>
    </row>
    <row r="17" ht="15.75" customHeight="1">
      <c r="A17" s="311"/>
      <c r="B17" s="101"/>
      <c r="C17" s="101">
        <f t="shared" si="1"/>
        <v>0</v>
      </c>
      <c r="D17" s="101"/>
    </row>
    <row r="18" ht="15.75" customHeight="1">
      <c r="A18" s="311"/>
      <c r="B18" s="101"/>
      <c r="C18" s="101">
        <f t="shared" si="1"/>
        <v>0</v>
      </c>
      <c r="D18" s="101"/>
    </row>
    <row r="19" ht="15.75" customHeight="1">
      <c r="A19" s="311"/>
      <c r="B19" s="101"/>
      <c r="C19" s="101">
        <f t="shared" si="1"/>
        <v>0</v>
      </c>
      <c r="D19" s="10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C1:D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59" t="s">
        <v>344</v>
      </c>
      <c r="B1" s="260"/>
    </row>
    <row r="2" ht="15.75" customHeight="1">
      <c r="A2" s="73"/>
      <c r="D2" s="73"/>
      <c r="E2" s="73"/>
    </row>
    <row r="3" ht="15.75" customHeight="1">
      <c r="A3" s="73"/>
      <c r="B3" s="73"/>
      <c r="C3" s="176" t="s">
        <v>345</v>
      </c>
      <c r="E3" s="176" t="s">
        <v>345</v>
      </c>
      <c r="F3" s="73"/>
    </row>
    <row r="4" ht="15.75" customHeight="1">
      <c r="A4" s="177" t="s">
        <v>94</v>
      </c>
      <c r="B4" s="178"/>
      <c r="C4" s="179" t="s">
        <v>95</v>
      </c>
      <c r="D4" s="179" t="s">
        <v>346</v>
      </c>
      <c r="E4" s="313" t="s">
        <v>347</v>
      </c>
      <c r="F4" s="313" t="s">
        <v>98</v>
      </c>
      <c r="H4" s="314" t="s">
        <v>348</v>
      </c>
    </row>
    <row r="5" ht="15.75" customHeight="1">
      <c r="A5" s="181"/>
      <c r="B5" s="51"/>
      <c r="C5" s="182"/>
      <c r="D5" s="182"/>
      <c r="E5" s="16"/>
      <c r="F5" s="16"/>
      <c r="H5" s="199"/>
    </row>
    <row r="6" ht="15.75" customHeight="1">
      <c r="A6" s="185" t="s">
        <v>349</v>
      </c>
      <c r="B6" s="3"/>
      <c r="C6" s="186">
        <v>40.0</v>
      </c>
      <c r="D6" s="186">
        <f>C6*1.22</f>
        <v>48.8</v>
      </c>
      <c r="E6" s="315">
        <f>D6*1.3</f>
        <v>63.44</v>
      </c>
      <c r="F6" s="315">
        <v>55.0</v>
      </c>
      <c r="H6" s="8">
        <v>65.0</v>
      </c>
    </row>
    <row r="7" ht="15.75" customHeight="1">
      <c r="A7" s="185"/>
      <c r="B7" s="3"/>
      <c r="C7" s="186"/>
      <c r="D7" s="186"/>
      <c r="E7" s="315"/>
      <c r="F7" s="315"/>
    </row>
    <row r="8" ht="15.75" customHeight="1">
      <c r="A8" s="185"/>
      <c r="B8" s="3"/>
      <c r="C8" s="186"/>
      <c r="D8" s="186"/>
      <c r="E8" s="315"/>
      <c r="F8" s="315"/>
    </row>
    <row r="9" ht="15.75" customHeight="1">
      <c r="A9" s="185"/>
      <c r="B9" s="3"/>
      <c r="C9" s="186"/>
      <c r="D9" s="186"/>
      <c r="E9" s="316"/>
      <c r="F9" s="316"/>
    </row>
    <row r="10" ht="15.75" customHeight="1">
      <c r="A10" s="185"/>
      <c r="B10" s="3"/>
      <c r="C10" s="186"/>
      <c r="D10" s="186"/>
      <c r="E10" s="30"/>
      <c r="F10" s="30"/>
    </row>
    <row r="11" ht="15.75" customHeight="1"/>
    <row r="12" ht="15.75" customHeight="1">
      <c r="A12" s="309" t="s">
        <v>119</v>
      </c>
      <c r="B12" s="158" t="s">
        <v>120</v>
      </c>
      <c r="C12" s="70" t="s">
        <v>121</v>
      </c>
      <c r="D12" s="71"/>
      <c r="F12" s="157" t="s">
        <v>122</v>
      </c>
      <c r="G12" s="69"/>
      <c r="H12" s="71"/>
    </row>
    <row r="13" ht="15.75" customHeight="1">
      <c r="A13" s="49"/>
      <c r="B13" s="158" t="s">
        <v>350</v>
      </c>
      <c r="C13" s="258" t="s">
        <v>127</v>
      </c>
      <c r="D13" s="258" t="s">
        <v>128</v>
      </c>
      <c r="F13" s="84" t="s">
        <v>133</v>
      </c>
      <c r="G13" s="84" t="s">
        <v>351</v>
      </c>
      <c r="H13" s="84" t="s">
        <v>136</v>
      </c>
    </row>
    <row r="14" ht="15.75" customHeight="1">
      <c r="A14" s="317">
        <v>45139.0</v>
      </c>
      <c r="B14" s="101">
        <v>10.0</v>
      </c>
      <c r="C14" s="88">
        <f t="shared" ref="C14:C24" si="1">$C$6*B14</f>
        <v>400</v>
      </c>
      <c r="D14" s="101" t="s">
        <v>352</v>
      </c>
      <c r="F14" s="190">
        <f t="shared" ref="F14:F23" si="2">C14</f>
        <v>400</v>
      </c>
      <c r="G14" s="101"/>
      <c r="H14" s="137"/>
    </row>
    <row r="15" ht="15.75" customHeight="1">
      <c r="A15" s="263">
        <v>45148.0</v>
      </c>
      <c r="B15" s="101">
        <v>26.0</v>
      </c>
      <c r="C15" s="88">
        <f t="shared" si="1"/>
        <v>1040</v>
      </c>
      <c r="D15" s="101" t="s">
        <v>353</v>
      </c>
      <c r="F15" s="190">
        <f t="shared" si="2"/>
        <v>1040</v>
      </c>
      <c r="G15" s="101"/>
      <c r="H15" s="137"/>
    </row>
    <row r="16" ht="15.75" customHeight="1">
      <c r="A16" s="263">
        <v>45156.0</v>
      </c>
      <c r="B16" s="101">
        <v>32.0</v>
      </c>
      <c r="C16" s="88">
        <f t="shared" si="1"/>
        <v>1280</v>
      </c>
      <c r="D16" s="101" t="s">
        <v>354</v>
      </c>
      <c r="F16" s="190">
        <f t="shared" si="2"/>
        <v>1280</v>
      </c>
      <c r="H16" s="137"/>
    </row>
    <row r="17" ht="15.75" customHeight="1">
      <c r="A17" s="263">
        <v>45162.0</v>
      </c>
      <c r="B17" s="101">
        <v>24.0</v>
      </c>
      <c r="C17" s="88">
        <f t="shared" si="1"/>
        <v>960</v>
      </c>
      <c r="D17" s="101" t="s">
        <v>355</v>
      </c>
      <c r="F17" s="190">
        <f t="shared" si="2"/>
        <v>960</v>
      </c>
      <c r="G17" s="101"/>
      <c r="H17" s="137"/>
    </row>
    <row r="18" ht="15.75" customHeight="1">
      <c r="A18" s="263">
        <v>45173.0</v>
      </c>
      <c r="B18" s="101">
        <v>36.0</v>
      </c>
      <c r="C18" s="88">
        <f t="shared" si="1"/>
        <v>1440</v>
      </c>
      <c r="D18" s="101" t="s">
        <v>356</v>
      </c>
      <c r="F18" s="190">
        <f t="shared" si="2"/>
        <v>1440</v>
      </c>
      <c r="H18" s="137"/>
    </row>
    <row r="19" ht="15.75" customHeight="1">
      <c r="A19" s="263">
        <v>45177.0</v>
      </c>
      <c r="B19" s="101">
        <v>54.0</v>
      </c>
      <c r="C19" s="88">
        <f t="shared" si="1"/>
        <v>2160</v>
      </c>
      <c r="D19" s="101" t="s">
        <v>357</v>
      </c>
      <c r="F19" s="190">
        <f t="shared" si="2"/>
        <v>2160</v>
      </c>
      <c r="G19" s="94"/>
      <c r="H19" s="137"/>
    </row>
    <row r="20" ht="15.75" customHeight="1">
      <c r="A20" s="263">
        <v>45184.0</v>
      </c>
      <c r="B20" s="101">
        <v>34.0</v>
      </c>
      <c r="C20" s="88">
        <f t="shared" si="1"/>
        <v>1360</v>
      </c>
      <c r="D20" s="101" t="s">
        <v>139</v>
      </c>
      <c r="F20" s="190">
        <f t="shared" si="2"/>
        <v>1360</v>
      </c>
      <c r="G20" s="94"/>
      <c r="H20" s="137"/>
    </row>
    <row r="21" ht="15.75" customHeight="1">
      <c r="A21" s="263">
        <v>45190.0</v>
      </c>
      <c r="B21" s="101">
        <v>34.0</v>
      </c>
      <c r="C21" s="88">
        <f t="shared" si="1"/>
        <v>1360</v>
      </c>
      <c r="D21" s="101" t="s">
        <v>358</v>
      </c>
      <c r="F21" s="190">
        <f t="shared" si="2"/>
        <v>1360</v>
      </c>
      <c r="G21" s="94"/>
      <c r="H21" s="137"/>
    </row>
    <row r="22" ht="15.75" customHeight="1">
      <c r="A22" s="263">
        <v>45212.0</v>
      </c>
      <c r="B22" s="101">
        <v>34.0</v>
      </c>
      <c r="C22" s="88">
        <f t="shared" si="1"/>
        <v>1360</v>
      </c>
      <c r="D22" s="101" t="s">
        <v>359</v>
      </c>
      <c r="F22" s="190">
        <f t="shared" si="2"/>
        <v>1360</v>
      </c>
      <c r="G22" s="94"/>
      <c r="H22" s="137"/>
    </row>
    <row r="23" ht="15.75" customHeight="1">
      <c r="A23" s="263">
        <v>45219.0</v>
      </c>
      <c r="B23" s="101">
        <v>30.0</v>
      </c>
      <c r="C23" s="88">
        <f t="shared" si="1"/>
        <v>1200</v>
      </c>
      <c r="D23" s="101" t="s">
        <v>360</v>
      </c>
      <c r="F23" s="190">
        <f t="shared" si="2"/>
        <v>1200</v>
      </c>
      <c r="G23" s="94"/>
      <c r="H23" s="137"/>
    </row>
    <row r="24" ht="15.75" customHeight="1">
      <c r="A24" s="263">
        <v>45227.0</v>
      </c>
      <c r="B24" s="101">
        <v>24.0</v>
      </c>
      <c r="C24" s="88">
        <f t="shared" si="1"/>
        <v>960</v>
      </c>
      <c r="D24" s="101" t="s">
        <v>361</v>
      </c>
      <c r="F24" s="318"/>
      <c r="G24" s="94"/>
      <c r="H24" s="137"/>
    </row>
    <row r="25" ht="15.75" customHeight="1">
      <c r="A25" s="263"/>
      <c r="B25" s="101"/>
      <c r="C25" s="88"/>
      <c r="D25" s="101"/>
      <c r="F25" s="318"/>
      <c r="G25" s="94"/>
      <c r="H25" s="137"/>
    </row>
    <row r="26" ht="15.75" customHeight="1">
      <c r="A26" s="263"/>
      <c r="B26" s="101"/>
      <c r="C26" s="88"/>
      <c r="D26" s="101"/>
      <c r="F26" s="318"/>
      <c r="G26" s="94"/>
      <c r="H26" s="137"/>
    </row>
    <row r="27" ht="15.75" customHeight="1">
      <c r="A27" s="263"/>
      <c r="B27" s="101"/>
      <c r="C27" s="88"/>
      <c r="D27" s="101"/>
      <c r="F27" s="318"/>
      <c r="G27" s="94"/>
      <c r="H27" s="137"/>
    </row>
    <row r="28" ht="15.75" customHeight="1">
      <c r="A28" s="263"/>
      <c r="B28" s="101"/>
      <c r="C28" s="88"/>
      <c r="D28" s="101"/>
      <c r="F28" s="318"/>
      <c r="G28" s="94"/>
      <c r="H28" s="137"/>
    </row>
    <row r="29" ht="15.75" customHeight="1">
      <c r="A29" s="263"/>
      <c r="B29" s="101"/>
      <c r="C29" s="88"/>
      <c r="D29" s="101"/>
      <c r="F29" s="318"/>
      <c r="G29" s="94"/>
      <c r="H29" s="137"/>
    </row>
    <row r="30" ht="15.75" customHeight="1">
      <c r="A30" s="263"/>
      <c r="B30" s="101"/>
      <c r="C30" s="88"/>
      <c r="D30" s="101"/>
      <c r="F30" s="318"/>
      <c r="G30" s="94"/>
      <c r="H30" s="137"/>
    </row>
    <row r="31" ht="15.75" customHeight="1">
      <c r="A31" s="263"/>
      <c r="B31" s="101"/>
      <c r="C31" s="88"/>
      <c r="D31" s="101"/>
      <c r="F31" s="318"/>
      <c r="G31" s="94"/>
      <c r="H31" s="1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6:B6"/>
    <mergeCell ref="A7:B7"/>
    <mergeCell ref="A8:B8"/>
    <mergeCell ref="A9:B9"/>
    <mergeCell ref="A10:B10"/>
    <mergeCell ref="A12:A13"/>
    <mergeCell ref="C12:D12"/>
    <mergeCell ref="F12:H12"/>
    <mergeCell ref="A2:B2"/>
    <mergeCell ref="A4:B5"/>
    <mergeCell ref="C4:C5"/>
    <mergeCell ref="D4:D5"/>
    <mergeCell ref="E4:E5"/>
    <mergeCell ref="F4:F5"/>
    <mergeCell ref="H4:H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12" t="s">
        <v>362</v>
      </c>
      <c r="B1" s="312" t="s">
        <v>363</v>
      </c>
    </row>
    <row r="2" ht="15.75" customHeight="1"/>
    <row r="3" ht="15.75" customHeight="1">
      <c r="B3" s="45" t="s">
        <v>94</v>
      </c>
      <c r="C3" s="178"/>
      <c r="D3" s="319" t="s">
        <v>364</v>
      </c>
      <c r="E3" s="320" t="s">
        <v>95</v>
      </c>
      <c r="F3" s="320" t="s">
        <v>96</v>
      </c>
      <c r="G3" s="320" t="s">
        <v>97</v>
      </c>
      <c r="H3" s="320" t="s">
        <v>176</v>
      </c>
      <c r="I3" s="314" t="s">
        <v>365</v>
      </c>
      <c r="J3" s="321"/>
      <c r="K3" s="321"/>
      <c r="N3" s="314" t="s">
        <v>348</v>
      </c>
    </row>
    <row r="4" ht="15.75" customHeight="1">
      <c r="B4" s="181"/>
      <c r="C4" s="51"/>
      <c r="D4" s="51"/>
      <c r="E4" s="16"/>
      <c r="F4" s="16"/>
      <c r="G4" s="16"/>
      <c r="H4" s="16"/>
      <c r="I4" s="199"/>
      <c r="J4" s="321"/>
      <c r="K4" s="321"/>
      <c r="N4" s="199"/>
    </row>
    <row r="5" ht="15.75" customHeight="1">
      <c r="B5" s="185" t="s">
        <v>366</v>
      </c>
      <c r="C5" s="3"/>
      <c r="D5" s="322"/>
      <c r="E5" s="30">
        <v>318.0</v>
      </c>
      <c r="F5" s="30">
        <f>E5/8</f>
        <v>39.75</v>
      </c>
      <c r="G5" s="315">
        <f t="shared" ref="G5:G22" si="1">F5*1.3</f>
        <v>51.675</v>
      </c>
      <c r="H5" s="315">
        <v>65.0</v>
      </c>
      <c r="I5" s="323"/>
      <c r="J5" s="8">
        <v>318.0</v>
      </c>
      <c r="K5" s="8">
        <f t="shared" ref="K5:K19" si="2">J5*1.22</f>
        <v>387.96</v>
      </c>
      <c r="N5" s="8">
        <v>65.0</v>
      </c>
    </row>
    <row r="6" ht="15.75" hidden="1" customHeight="1">
      <c r="B6" s="185" t="s">
        <v>367</v>
      </c>
      <c r="C6" s="3"/>
      <c r="D6" s="322"/>
      <c r="E6" s="30">
        <v>740.0</v>
      </c>
      <c r="F6" s="30">
        <f t="shared" ref="F6:F7" si="3">E6/16</f>
        <v>46.25</v>
      </c>
      <c r="G6" s="315">
        <f t="shared" si="1"/>
        <v>60.125</v>
      </c>
      <c r="H6" s="315">
        <v>55.0</v>
      </c>
      <c r="I6" s="323"/>
      <c r="J6" s="8"/>
      <c r="K6" s="8">
        <f t="shared" si="2"/>
        <v>0</v>
      </c>
    </row>
    <row r="7" ht="15.75" hidden="1" customHeight="1">
      <c r="B7" s="185" t="s">
        <v>368</v>
      </c>
      <c r="C7" s="3"/>
      <c r="D7" s="322"/>
      <c r="E7" s="30">
        <v>740.0</v>
      </c>
      <c r="F7" s="30">
        <f t="shared" si="3"/>
        <v>46.25</v>
      </c>
      <c r="G7" s="315">
        <f t="shared" si="1"/>
        <v>60.125</v>
      </c>
      <c r="H7" s="315">
        <v>55.0</v>
      </c>
      <c r="I7" s="323"/>
      <c r="J7" s="8"/>
      <c r="K7" s="8">
        <f t="shared" si="2"/>
        <v>0</v>
      </c>
    </row>
    <row r="8" ht="15.75" customHeight="1">
      <c r="B8" s="185" t="s">
        <v>369</v>
      </c>
      <c r="C8" s="3"/>
      <c r="D8" s="322"/>
      <c r="E8" s="30">
        <v>218.0</v>
      </c>
      <c r="F8" s="30">
        <f>E8/12</f>
        <v>18.16666667</v>
      </c>
      <c r="G8" s="315">
        <f t="shared" si="1"/>
        <v>23.61666667</v>
      </c>
      <c r="H8" s="315">
        <v>25.0</v>
      </c>
      <c r="I8" s="323"/>
      <c r="J8" s="8">
        <v>209.3</v>
      </c>
      <c r="K8" s="8">
        <f t="shared" si="2"/>
        <v>255.346</v>
      </c>
      <c r="N8" s="8">
        <v>25.0</v>
      </c>
    </row>
    <row r="9" ht="15.75" hidden="1" customHeight="1">
      <c r="B9" s="185" t="s">
        <v>370</v>
      </c>
      <c r="C9" s="3"/>
      <c r="D9" s="322"/>
      <c r="E9" s="30">
        <f>10*22</f>
        <v>220</v>
      </c>
      <c r="F9" s="30">
        <v>22.0</v>
      </c>
      <c r="G9" s="315">
        <f t="shared" si="1"/>
        <v>28.6</v>
      </c>
      <c r="H9" s="315">
        <v>30.0</v>
      </c>
      <c r="I9" s="323"/>
      <c r="J9" s="8"/>
      <c r="K9" s="8">
        <f t="shared" si="2"/>
        <v>0</v>
      </c>
    </row>
    <row r="10" ht="15.75" hidden="1" customHeight="1">
      <c r="B10" s="185" t="s">
        <v>371</v>
      </c>
      <c r="C10" s="3"/>
      <c r="D10" s="322"/>
      <c r="E10" s="30">
        <f>10*20</f>
        <v>200</v>
      </c>
      <c r="F10" s="30">
        <v>20.0</v>
      </c>
      <c r="G10" s="315">
        <f t="shared" si="1"/>
        <v>26</v>
      </c>
      <c r="H10" s="315">
        <v>26.0</v>
      </c>
      <c r="I10" s="323"/>
      <c r="J10" s="8"/>
      <c r="K10" s="8">
        <f t="shared" si="2"/>
        <v>0</v>
      </c>
    </row>
    <row r="11" ht="15.75" hidden="1" customHeight="1">
      <c r="B11" s="185" t="s">
        <v>372</v>
      </c>
      <c r="C11" s="3"/>
      <c r="D11" s="322"/>
      <c r="E11" s="30">
        <v>480.0</v>
      </c>
      <c r="F11" s="30">
        <f>E11/10</f>
        <v>48</v>
      </c>
      <c r="G11" s="315">
        <f t="shared" si="1"/>
        <v>62.4</v>
      </c>
      <c r="H11" s="315">
        <v>60.0</v>
      </c>
      <c r="I11" s="323"/>
      <c r="J11" s="8"/>
      <c r="K11" s="8">
        <f t="shared" si="2"/>
        <v>0</v>
      </c>
    </row>
    <row r="12" ht="15.75" hidden="1" customHeight="1">
      <c r="B12" s="185" t="s">
        <v>373</v>
      </c>
      <c r="C12" s="3"/>
      <c r="D12" s="322"/>
      <c r="E12" s="30">
        <v>624.0</v>
      </c>
      <c r="F12" s="30">
        <v>26.0</v>
      </c>
      <c r="G12" s="315">
        <f t="shared" si="1"/>
        <v>33.8</v>
      </c>
      <c r="H12" s="315"/>
      <c r="I12" s="323">
        <v>29.0</v>
      </c>
      <c r="J12" s="8"/>
      <c r="K12" s="8">
        <f t="shared" si="2"/>
        <v>0</v>
      </c>
    </row>
    <row r="13" ht="15.75" hidden="1" customHeight="1">
      <c r="B13" s="185" t="s">
        <v>374</v>
      </c>
      <c r="C13" s="3"/>
      <c r="D13" s="322"/>
      <c r="E13" s="30">
        <v>432.0</v>
      </c>
      <c r="F13" s="30">
        <v>16.0</v>
      </c>
      <c r="G13" s="315">
        <f t="shared" si="1"/>
        <v>20.8</v>
      </c>
      <c r="H13" s="315"/>
      <c r="I13" s="323"/>
      <c r="J13" s="8"/>
      <c r="K13" s="8">
        <f t="shared" si="2"/>
        <v>0</v>
      </c>
    </row>
    <row r="14" ht="15.75" customHeight="1">
      <c r="B14" s="185" t="s">
        <v>375</v>
      </c>
      <c r="C14" s="3"/>
      <c r="D14" s="322"/>
      <c r="E14" s="30">
        <v>306.0</v>
      </c>
      <c r="F14" s="30">
        <f>E14/24</f>
        <v>12.75</v>
      </c>
      <c r="G14" s="315">
        <f t="shared" si="1"/>
        <v>16.575</v>
      </c>
      <c r="H14" s="315">
        <v>20.0</v>
      </c>
      <c r="I14" s="323"/>
      <c r="J14" s="8">
        <v>318.0</v>
      </c>
      <c r="K14" s="8">
        <f t="shared" si="2"/>
        <v>387.96</v>
      </c>
      <c r="N14" s="8">
        <v>20.0</v>
      </c>
    </row>
    <row r="15" ht="15.75" customHeight="1">
      <c r="B15" s="185" t="s">
        <v>376</v>
      </c>
      <c r="C15" s="3"/>
      <c r="D15" s="322"/>
      <c r="E15" s="30">
        <v>600.0</v>
      </c>
      <c r="F15" s="30">
        <f>E15/30</f>
        <v>20</v>
      </c>
      <c r="G15" s="315">
        <f t="shared" si="1"/>
        <v>26</v>
      </c>
      <c r="H15" s="315">
        <v>25.0</v>
      </c>
      <c r="I15" s="323"/>
      <c r="J15" s="8">
        <v>223.0</v>
      </c>
      <c r="K15" s="8">
        <f t="shared" si="2"/>
        <v>272.06</v>
      </c>
      <c r="N15" s="8">
        <v>25.0</v>
      </c>
    </row>
    <row r="16" ht="15.75" customHeight="1">
      <c r="B16" s="185" t="s">
        <v>377</v>
      </c>
      <c r="C16" s="3"/>
      <c r="D16" s="324"/>
      <c r="E16" s="212">
        <v>180.0</v>
      </c>
      <c r="F16" s="212">
        <f t="shared" ref="F16:F17" si="4">E16/12</f>
        <v>15</v>
      </c>
      <c r="G16" s="325">
        <f t="shared" si="1"/>
        <v>19.5</v>
      </c>
      <c r="H16" s="325">
        <v>20.0</v>
      </c>
      <c r="I16" s="326"/>
      <c r="K16" s="8">
        <f t="shared" si="2"/>
        <v>0</v>
      </c>
      <c r="N16" s="8">
        <v>20.0</v>
      </c>
    </row>
    <row r="17" ht="15.75" customHeight="1">
      <c r="B17" s="185" t="s">
        <v>378</v>
      </c>
      <c r="C17" s="3"/>
      <c r="D17" s="324"/>
      <c r="E17" s="212">
        <v>272.06</v>
      </c>
      <c r="F17" s="212">
        <f t="shared" si="4"/>
        <v>22.67166667</v>
      </c>
      <c r="G17" s="325">
        <f t="shared" si="1"/>
        <v>29.47316667</v>
      </c>
      <c r="H17" s="325">
        <v>25.0</v>
      </c>
      <c r="I17" s="326"/>
      <c r="K17" s="8">
        <f t="shared" si="2"/>
        <v>0</v>
      </c>
      <c r="N17" s="8">
        <v>30.0</v>
      </c>
    </row>
    <row r="18" ht="15.75" customHeight="1">
      <c r="B18" s="208" t="s">
        <v>379</v>
      </c>
      <c r="C18" s="210"/>
      <c r="D18" s="324"/>
      <c r="E18" s="212">
        <v>387.96</v>
      </c>
      <c r="F18" s="212">
        <f>E18/20</f>
        <v>19.398</v>
      </c>
      <c r="G18" s="325">
        <f t="shared" si="1"/>
        <v>25.2174</v>
      </c>
      <c r="H18" s="325">
        <v>25.0</v>
      </c>
      <c r="I18" s="326"/>
      <c r="K18" s="8">
        <f t="shared" si="2"/>
        <v>0</v>
      </c>
      <c r="N18" s="8">
        <v>25.0</v>
      </c>
    </row>
    <row r="19" ht="15.75" customHeight="1">
      <c r="B19" s="208" t="s">
        <v>380</v>
      </c>
      <c r="C19" s="210"/>
      <c r="D19" s="324"/>
      <c r="E19" s="212">
        <v>436.8</v>
      </c>
      <c r="F19" s="212">
        <f t="shared" ref="F19:F21" si="5">E19/12</f>
        <v>36.4</v>
      </c>
      <c r="G19" s="325">
        <f t="shared" si="1"/>
        <v>47.32</v>
      </c>
      <c r="H19" s="325">
        <v>60.0</v>
      </c>
      <c r="I19" s="326"/>
      <c r="K19" s="8">
        <f t="shared" si="2"/>
        <v>0</v>
      </c>
    </row>
    <row r="20" ht="15.75" customHeight="1">
      <c r="B20" s="327" t="s">
        <v>381</v>
      </c>
      <c r="C20" s="58"/>
      <c r="D20" s="328"/>
      <c r="E20" s="329">
        <v>549.4</v>
      </c>
      <c r="F20" s="329">
        <f t="shared" si="5"/>
        <v>45.78333333</v>
      </c>
      <c r="G20" s="330">
        <f t="shared" si="1"/>
        <v>59.51833333</v>
      </c>
      <c r="H20" s="330">
        <v>60.0</v>
      </c>
      <c r="I20" s="331"/>
    </row>
    <row r="21" ht="15.75" customHeight="1">
      <c r="B21" s="327" t="s">
        <v>382</v>
      </c>
      <c r="C21" s="58"/>
      <c r="D21" s="328">
        <f>388*0.03</f>
        <v>11.64</v>
      </c>
      <c r="E21" s="329">
        <f>388-D21</f>
        <v>376.36</v>
      </c>
      <c r="F21" s="329">
        <f t="shared" si="5"/>
        <v>31.36333333</v>
      </c>
      <c r="G21" s="330">
        <f t="shared" si="1"/>
        <v>40.77233333</v>
      </c>
      <c r="H21" s="330">
        <v>40.0</v>
      </c>
      <c r="I21" s="331"/>
    </row>
    <row r="22" ht="15.75" customHeight="1">
      <c r="B22" s="327" t="s">
        <v>383</v>
      </c>
      <c r="C22" s="58"/>
      <c r="D22" s="328">
        <f>110*0.03</f>
        <v>3.3</v>
      </c>
      <c r="E22" s="329">
        <f>110-D22</f>
        <v>106.7</v>
      </c>
      <c r="F22" s="329">
        <f>E22</f>
        <v>106.7</v>
      </c>
      <c r="G22" s="330">
        <f t="shared" si="1"/>
        <v>138.71</v>
      </c>
      <c r="H22" s="330">
        <v>140.0</v>
      </c>
      <c r="I22" s="331"/>
      <c r="L22" s="8">
        <f>B27*E5</f>
        <v>954</v>
      </c>
      <c r="N22" s="8">
        <f>C27*E8</f>
        <v>218</v>
      </c>
      <c r="O22" s="8">
        <f>E27*E14</f>
        <v>612</v>
      </c>
    </row>
    <row r="23" ht="15.75" customHeight="1">
      <c r="B23" s="81"/>
      <c r="C23" s="81"/>
      <c r="D23" s="73"/>
      <c r="E23" s="73"/>
      <c r="F23" s="73"/>
      <c r="G23" s="332"/>
      <c r="H23" s="332"/>
    </row>
    <row r="24" ht="15.75" customHeight="1"/>
    <row r="25" ht="15.75" customHeight="1">
      <c r="A25" s="309" t="s">
        <v>119</v>
      </c>
      <c r="B25" s="68" t="s">
        <v>120</v>
      </c>
      <c r="C25" s="69"/>
      <c r="D25" s="69"/>
      <c r="E25" s="69"/>
      <c r="F25" s="69"/>
      <c r="G25" s="69"/>
      <c r="H25" s="69"/>
      <c r="I25" s="69"/>
      <c r="J25" s="68"/>
      <c r="K25" s="68"/>
      <c r="L25" s="70" t="s">
        <v>121</v>
      </c>
      <c r="M25" s="69"/>
      <c r="N25" s="71"/>
    </row>
    <row r="26" ht="15.75" customHeight="1">
      <c r="A26" s="49"/>
      <c r="B26" s="158" t="str">
        <f>B5</f>
        <v>Nativo Negro/Blanco 8un,</v>
      </c>
      <c r="C26" s="158" t="str">
        <f>B8</f>
        <v>Alfajores Play 12un</v>
      </c>
      <c r="D26" s="258"/>
      <c r="E26" s="258" t="str">
        <f>B14</f>
        <v>Barritas ritter x24</v>
      </c>
      <c r="F26" s="258" t="str">
        <f>B15</f>
        <v>Mentitas Ambrosoli x30</v>
      </c>
      <c r="G26" s="258" t="str">
        <f>B16</f>
        <v>Mentitas frutal x12</v>
      </c>
      <c r="H26" s="258" t="s">
        <v>384</v>
      </c>
      <c r="I26" s="258" t="str">
        <f>B17</f>
        <v>Tic tac x12</v>
      </c>
      <c r="J26" s="258" t="s">
        <v>385</v>
      </c>
      <c r="K26" s="258" t="s">
        <v>386</v>
      </c>
      <c r="L26" s="258" t="s">
        <v>127</v>
      </c>
      <c r="M26" s="258" t="s">
        <v>387</v>
      </c>
      <c r="N26" s="258" t="s">
        <v>128</v>
      </c>
    </row>
    <row r="27" ht="15.75" customHeight="1">
      <c r="A27" s="311">
        <v>45873.0</v>
      </c>
      <c r="B27" s="101">
        <v>3.0</v>
      </c>
      <c r="C27" s="101">
        <v>1.0</v>
      </c>
      <c r="D27" s="101"/>
      <c r="E27" s="101">
        <v>2.0</v>
      </c>
      <c r="F27" s="101"/>
      <c r="G27" s="101"/>
      <c r="H27" s="101"/>
      <c r="I27" s="101"/>
      <c r="J27" s="101"/>
      <c r="K27" s="101"/>
      <c r="L27" s="101">
        <f>(B27*E5)+(C27*E8)+(E27*E14)+(F27*E15)+(G27*E16)+(H27*E18)+(I27*E17)+(J27*E19)+(K27*E20)</f>
        <v>1784</v>
      </c>
      <c r="M27" s="101">
        <f>392.63</f>
        <v>392.63</v>
      </c>
      <c r="N27" s="101" t="s">
        <v>388</v>
      </c>
    </row>
    <row r="28" ht="15.75" customHeight="1">
      <c r="A28" s="31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</row>
    <row r="29" ht="15.75" customHeight="1">
      <c r="A29" s="31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</row>
    <row r="30" ht="15.75" customHeight="1">
      <c r="A30" s="31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</row>
    <row r="31" ht="15.75" customHeight="1">
      <c r="A31" s="31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</row>
    <row r="32" ht="15.75" customHeight="1">
      <c r="A32" s="31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</row>
    <row r="33" ht="15.75" customHeight="1">
      <c r="A33" s="31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Q33" s="333">
        <v>1.0</v>
      </c>
      <c r="R33" s="334" t="s">
        <v>389</v>
      </c>
    </row>
    <row r="34" ht="15.75" customHeight="1">
      <c r="A34" s="31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Q34" s="335">
        <v>1.0</v>
      </c>
      <c r="R34" s="336" t="s">
        <v>390</v>
      </c>
    </row>
    <row r="35" ht="15.75" customHeight="1">
      <c r="A35" s="31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Q35" s="337"/>
      <c r="R35" s="336" t="s">
        <v>391</v>
      </c>
    </row>
    <row r="36" ht="15.75" customHeight="1">
      <c r="A36" s="31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Q36" s="335">
        <v>1.0</v>
      </c>
      <c r="R36" s="336" t="s">
        <v>392</v>
      </c>
    </row>
    <row r="37" ht="15.75" customHeight="1">
      <c r="A37" s="31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Q37" s="335">
        <v>1.0</v>
      </c>
      <c r="R37" s="336" t="s">
        <v>393</v>
      </c>
    </row>
    <row r="38" ht="15.75" customHeight="1">
      <c r="A38" s="31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Q38" s="337"/>
      <c r="R38" s="336" t="s">
        <v>394</v>
      </c>
    </row>
    <row r="39" ht="15.75" customHeight="1">
      <c r="A39" s="31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Q39" s="337"/>
      <c r="R39" s="336" t="s">
        <v>395</v>
      </c>
    </row>
    <row r="40" ht="15.75" customHeight="1">
      <c r="A40" s="31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Q40" s="335">
        <v>1.0</v>
      </c>
      <c r="R40" s="336" t="s">
        <v>396</v>
      </c>
    </row>
    <row r="41" ht="15.75" customHeight="1">
      <c r="A41" s="206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Q41" s="337"/>
      <c r="R41" s="336" t="s">
        <v>397</v>
      </c>
    </row>
    <row r="42" ht="15.75" customHeight="1">
      <c r="A42" s="31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Q42" s="335">
        <v>1.0</v>
      </c>
      <c r="R42" s="336" t="s">
        <v>398</v>
      </c>
    </row>
    <row r="43" ht="15.75" customHeight="1">
      <c r="A43" s="31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Q43" s="335">
        <v>1.0</v>
      </c>
      <c r="R43" s="336" t="s">
        <v>399</v>
      </c>
    </row>
    <row r="44" ht="15.75" customHeight="1">
      <c r="A44" s="31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Q44" s="337"/>
      <c r="R44" s="336" t="str">
        <f>O44</f>
        <v/>
      </c>
    </row>
    <row r="45" ht="15.75" customHeight="1">
      <c r="A45" s="31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Q45" s="337"/>
      <c r="R45" s="336" t="s">
        <v>400</v>
      </c>
    </row>
    <row r="46" ht="15.75" customHeight="1">
      <c r="A46" s="31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Q46" s="335">
        <v>1.0</v>
      </c>
      <c r="R46" s="336" t="s">
        <v>401</v>
      </c>
    </row>
    <row r="47" ht="15.75" customHeight="1">
      <c r="A47" s="31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Q47" s="335">
        <v>1.0</v>
      </c>
      <c r="R47" s="336" t="str">
        <f t="shared" ref="R47:R48" si="6">O47</f>
        <v/>
      </c>
    </row>
    <row r="48" ht="15.75" customHeight="1">
      <c r="A48" s="31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Q48" s="335">
        <v>1.0</v>
      </c>
      <c r="R48" s="336" t="str">
        <f t="shared" si="6"/>
        <v/>
      </c>
    </row>
    <row r="49" ht="15.75" customHeight="1">
      <c r="A49" s="31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>
        <f t="shared" ref="L49:L50" si="7">(B49*$E$5)+(C49*$E$8)+(E49*$E$14)+(F49*$E$15)+(G49*$E$16)+(H49*$E$20)+(I49*$E$17)</f>
        <v>0</v>
      </c>
      <c r="M49" s="101"/>
      <c r="N49" s="101"/>
      <c r="Q49" s="335">
        <v>1.0</v>
      </c>
      <c r="R49" s="336" t="s">
        <v>402</v>
      </c>
    </row>
    <row r="50" ht="15.75" customHeight="1">
      <c r="A50" s="31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>
        <f t="shared" si="7"/>
        <v>0</v>
      </c>
      <c r="M50" s="101"/>
      <c r="N50" s="101"/>
      <c r="Q50" s="337"/>
      <c r="R50" s="336" t="s">
        <v>403</v>
      </c>
    </row>
    <row r="51" ht="15.75" customHeight="1">
      <c r="A51" s="31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>
        <f t="shared" ref="L51:L52" si="8">(B51*$E$5)+(C51*$E$8)+(E51*$E$14)+(F51*$E$15)+(G51*$E$16)+(H51*$E$18)+(I51*$E$17)+(J51*$E$20)</f>
        <v>0</v>
      </c>
      <c r="M51" s="101"/>
      <c r="N51" s="101"/>
      <c r="Q51" s="338"/>
      <c r="R51" s="339" t="s">
        <v>404</v>
      </c>
    </row>
    <row r="52" ht="15.75" customHeight="1">
      <c r="A52" s="31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>
        <f t="shared" si="8"/>
        <v>0</v>
      </c>
      <c r="M52" s="101"/>
      <c r="N52" s="101"/>
    </row>
    <row r="53" ht="15.75" customHeight="1">
      <c r="A53" s="31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>
        <f>(B53*$E$5)+(C53*$E$8)+(E53*$E$14)+(F53*$E$15)+(G53*$E$16)+(J53*$E$20)+(I53*$E$17)+(H53*$E$18)</f>
        <v>0</v>
      </c>
      <c r="M53" s="101"/>
      <c r="N53" s="101"/>
    </row>
    <row r="54" ht="15.75" customHeight="1">
      <c r="A54" s="31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>
        <f t="shared" ref="L54:L62" si="9">(B54*$E$5)+(C54*$E$8)+(E54*$E$14)+(F54*$E$15)+(G54*$E$16)+(H54*$E$20)+(I54*$E$17)</f>
        <v>0</v>
      </c>
      <c r="M54" s="101"/>
      <c r="N54" s="101"/>
      <c r="Q54" s="333">
        <v>1.0</v>
      </c>
      <c r="R54" s="334" t="s">
        <v>389</v>
      </c>
    </row>
    <row r="55" ht="15.75" customHeight="1">
      <c r="A55" s="31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>
        <f t="shared" si="9"/>
        <v>0</v>
      </c>
      <c r="M55" s="101"/>
      <c r="N55" s="101"/>
      <c r="Q55" s="335">
        <v>1.0</v>
      </c>
      <c r="R55" s="336" t="s">
        <v>390</v>
      </c>
    </row>
    <row r="56" ht="15.75" customHeight="1">
      <c r="A56" s="31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>
        <f t="shared" si="9"/>
        <v>0</v>
      </c>
      <c r="M56" s="101"/>
      <c r="N56" s="101"/>
      <c r="Q56" s="337"/>
      <c r="R56" s="336" t="s">
        <v>391</v>
      </c>
    </row>
    <row r="57" ht="15.75" customHeight="1">
      <c r="A57" s="31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>
        <f t="shared" si="9"/>
        <v>0</v>
      </c>
      <c r="M57" s="101"/>
      <c r="N57" s="101"/>
      <c r="Q57" s="335">
        <v>1.0</v>
      </c>
      <c r="R57" s="336" t="s">
        <v>392</v>
      </c>
    </row>
    <row r="58" ht="15.75" customHeight="1">
      <c r="A58" s="31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>
        <f t="shared" si="9"/>
        <v>0</v>
      </c>
      <c r="M58" s="101"/>
      <c r="N58" s="101"/>
      <c r="Q58" s="335">
        <v>2.0</v>
      </c>
      <c r="R58" s="336" t="s">
        <v>393</v>
      </c>
    </row>
    <row r="59" ht="15.75" customHeight="1">
      <c r="A59" s="31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>
        <f t="shared" si="9"/>
        <v>0</v>
      </c>
      <c r="M59" s="101"/>
      <c r="N59" s="101"/>
      <c r="Q59" s="335">
        <v>1.0</v>
      </c>
      <c r="R59" s="336" t="s">
        <v>394</v>
      </c>
    </row>
    <row r="60" ht="15.75" customHeight="1">
      <c r="A60" s="31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>
        <f t="shared" si="9"/>
        <v>0</v>
      </c>
      <c r="M60" s="101"/>
      <c r="N60" s="101"/>
      <c r="Q60" s="335">
        <v>1.0</v>
      </c>
      <c r="R60" s="336" t="s">
        <v>395</v>
      </c>
    </row>
    <row r="61" ht="15.75" customHeight="1">
      <c r="A61" s="31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>
        <f t="shared" si="9"/>
        <v>0</v>
      </c>
      <c r="M61" s="101"/>
      <c r="N61" s="101"/>
      <c r="Q61" s="335">
        <v>1.0</v>
      </c>
      <c r="R61" s="336" t="s">
        <v>396</v>
      </c>
    </row>
    <row r="62" ht="15.75" customHeight="1">
      <c r="A62" s="31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>
        <f t="shared" si="9"/>
        <v>0</v>
      </c>
      <c r="M62" s="101"/>
      <c r="N62" s="101"/>
      <c r="Q62" s="335">
        <v>1.0</v>
      </c>
      <c r="R62" s="336" t="s">
        <v>397</v>
      </c>
    </row>
    <row r="63" ht="15.75" customHeight="1">
      <c r="Q63" s="335">
        <v>1.0</v>
      </c>
      <c r="R63" s="336" t="s">
        <v>398</v>
      </c>
    </row>
    <row r="64" ht="15.75" customHeight="1">
      <c r="Q64" s="335">
        <v>1.0</v>
      </c>
      <c r="R64" s="336" t="s">
        <v>399</v>
      </c>
    </row>
    <row r="65" ht="15.75" customHeight="1">
      <c r="Q65" s="337"/>
      <c r="R65" s="336" t="str">
        <f>O65</f>
        <v/>
      </c>
    </row>
    <row r="66" ht="15.75" customHeight="1">
      <c r="Q66" s="335">
        <v>1.0</v>
      </c>
      <c r="R66" s="336" t="s">
        <v>400</v>
      </c>
    </row>
    <row r="67" ht="15.75" customHeight="1">
      <c r="Q67" s="335">
        <v>1.0</v>
      </c>
      <c r="R67" s="336" t="s">
        <v>401</v>
      </c>
    </row>
    <row r="68" ht="15.75" customHeight="1">
      <c r="Q68" s="335">
        <v>1.0</v>
      </c>
      <c r="R68" s="336" t="str">
        <f t="shared" ref="R68:R69" si="10">O68</f>
        <v/>
      </c>
    </row>
    <row r="69" ht="15.75" customHeight="1">
      <c r="Q69" s="335">
        <v>1.0</v>
      </c>
      <c r="R69" s="336" t="str">
        <f t="shared" si="10"/>
        <v/>
      </c>
    </row>
    <row r="70" ht="15.75" customHeight="1">
      <c r="Q70" s="335">
        <v>1.0</v>
      </c>
      <c r="R70" s="336" t="s">
        <v>402</v>
      </c>
    </row>
    <row r="71" ht="15.75" customHeight="1">
      <c r="Q71" s="337"/>
      <c r="R71" s="336" t="s">
        <v>403</v>
      </c>
    </row>
    <row r="72" ht="15.75" customHeight="1">
      <c r="Q72" s="338"/>
      <c r="R72" s="339" t="s">
        <v>404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D3:D4"/>
    <mergeCell ref="E3:E4"/>
    <mergeCell ref="F3:F4"/>
    <mergeCell ref="G3:G4"/>
    <mergeCell ref="H3:H4"/>
    <mergeCell ref="I3:I4"/>
    <mergeCell ref="N3:N4"/>
    <mergeCell ref="B3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21:C21"/>
    <mergeCell ref="B22:C22"/>
    <mergeCell ref="A25:A26"/>
    <mergeCell ref="B25:I25"/>
    <mergeCell ref="L25:N25"/>
    <mergeCell ref="B11:C11"/>
    <mergeCell ref="B12:C12"/>
    <mergeCell ref="B13:C13"/>
    <mergeCell ref="B14:C14"/>
    <mergeCell ref="B15:C15"/>
    <mergeCell ref="B16:C16"/>
    <mergeCell ref="B17:C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ht="15.75" customHeight="1">
      <c r="A2" s="175" t="s">
        <v>221</v>
      </c>
      <c r="B2" s="175" t="s">
        <v>405</v>
      </c>
      <c r="D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ht="15.75" customHeight="1">
      <c r="A3" s="73"/>
      <c r="B3" s="73"/>
      <c r="D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ht="15.75" customHeight="1">
      <c r="A4" s="73"/>
      <c r="B4" s="73"/>
      <c r="C4" s="73"/>
      <c r="D4" s="340" t="s">
        <v>406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ht="15.75" customHeight="1">
      <c r="A5" s="73"/>
      <c r="B5" s="177" t="s">
        <v>94</v>
      </c>
      <c r="C5" s="178"/>
      <c r="D5" s="341" t="s">
        <v>407</v>
      </c>
      <c r="E5" s="341" t="s">
        <v>408</v>
      </c>
      <c r="G5" s="73"/>
      <c r="H5" s="73"/>
      <c r="I5" s="73" t="s">
        <v>409</v>
      </c>
      <c r="M5" s="73"/>
      <c r="N5" s="73"/>
      <c r="O5" s="73"/>
      <c r="P5" s="73"/>
      <c r="Q5" s="73"/>
      <c r="R5" s="73"/>
      <c r="S5" s="73"/>
      <c r="T5" s="73"/>
      <c r="U5" s="73"/>
      <c r="V5" s="73"/>
    </row>
    <row r="6" ht="15.75" customHeight="1">
      <c r="A6" s="73"/>
      <c r="B6" s="47"/>
      <c r="C6" s="342"/>
      <c r="D6" s="343"/>
      <c r="E6" s="343"/>
      <c r="G6" s="73"/>
      <c r="H6" s="73"/>
      <c r="I6" s="344"/>
      <c r="J6" s="73"/>
      <c r="K6" s="73"/>
      <c r="L6" s="73"/>
      <c r="M6" s="73"/>
      <c r="N6" s="345" t="s">
        <v>410</v>
      </c>
      <c r="O6" s="73"/>
      <c r="P6" s="73"/>
      <c r="Q6" s="73"/>
      <c r="R6" s="73"/>
      <c r="S6" s="73"/>
      <c r="T6" s="73"/>
      <c r="U6" s="73"/>
      <c r="V6" s="73"/>
    </row>
    <row r="7" ht="15.75" customHeight="1">
      <c r="A7" s="73"/>
      <c r="B7" s="183" t="s">
        <v>411</v>
      </c>
      <c r="C7" s="51"/>
      <c r="D7" s="346">
        <v>414.54</v>
      </c>
      <c r="E7" s="346">
        <f t="shared" ref="E7:E8" si="1">D7*1.1</f>
        <v>455.994</v>
      </c>
      <c r="F7" s="73"/>
      <c r="G7" s="73"/>
      <c r="H7" s="73"/>
      <c r="I7" s="344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</row>
    <row r="8" ht="15.75" customHeight="1">
      <c r="A8" s="73"/>
      <c r="B8" s="185" t="s">
        <v>412</v>
      </c>
      <c r="C8" s="3"/>
      <c r="D8" s="30">
        <v>778.18</v>
      </c>
      <c r="E8" s="30">
        <f t="shared" si="1"/>
        <v>855.998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ht="15.75" customHeight="1">
      <c r="A9" s="73"/>
      <c r="B9" s="347" t="s">
        <v>413</v>
      </c>
      <c r="C9" s="3"/>
      <c r="D9" s="30"/>
      <c r="E9" s="30"/>
      <c r="F9" s="73"/>
      <c r="G9" s="73"/>
      <c r="H9" s="73"/>
      <c r="I9" s="73"/>
      <c r="J9" s="348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 ht="15.75" customHeight="1">
      <c r="A10" s="73"/>
      <c r="B10" s="347" t="s">
        <v>414</v>
      </c>
      <c r="C10" s="3"/>
      <c r="D10" s="30"/>
      <c r="E10" s="30"/>
      <c r="F10" s="73"/>
      <c r="G10" s="73"/>
      <c r="H10" s="73"/>
      <c r="I10" s="73"/>
      <c r="J10" s="348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ht="15.75" customHeight="1">
      <c r="A11" s="73"/>
      <c r="B11" s="349" t="s">
        <v>415</v>
      </c>
      <c r="C11" s="58"/>
      <c r="D11" s="329"/>
      <c r="E11" s="329"/>
      <c r="F11" s="73"/>
      <c r="G11" s="73"/>
      <c r="H11" s="73"/>
      <c r="I11" s="73"/>
      <c r="J11" s="348" t="s">
        <v>416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</row>
    <row r="12" ht="15.75" customHeight="1">
      <c r="A12" s="73"/>
      <c r="B12" s="73"/>
      <c r="C12" s="73"/>
      <c r="D12" s="73"/>
      <c r="E12" s="73"/>
      <c r="F12" s="73"/>
      <c r="G12" s="73"/>
      <c r="H12" s="73"/>
      <c r="I12" s="73"/>
      <c r="J12" s="344" t="s">
        <v>417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ht="15.75" customHeight="1">
      <c r="A13" s="158" t="s">
        <v>119</v>
      </c>
      <c r="B13" s="68" t="s">
        <v>120</v>
      </c>
      <c r="C13" s="69"/>
      <c r="D13" s="70" t="s">
        <v>121</v>
      </c>
      <c r="E13" s="71"/>
      <c r="F13" s="73"/>
      <c r="G13" s="73"/>
      <c r="H13" s="73"/>
      <c r="I13" s="73"/>
      <c r="J13" s="344" t="s">
        <v>418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</row>
    <row r="14" ht="15.75" customHeight="1">
      <c r="A14" s="158" t="s">
        <v>119</v>
      </c>
      <c r="B14" s="158" t="s">
        <v>419</v>
      </c>
      <c r="C14" s="158" t="s">
        <v>420</v>
      </c>
      <c r="D14" s="258" t="s">
        <v>127</v>
      </c>
      <c r="E14" s="258" t="s">
        <v>128</v>
      </c>
      <c r="F14" s="73"/>
      <c r="G14" s="73"/>
      <c r="H14" s="73"/>
      <c r="I14" s="73"/>
      <c r="J14" s="348" t="s">
        <v>421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</row>
    <row r="15" ht="15.75" customHeight="1">
      <c r="A15" s="245">
        <v>45329.0</v>
      </c>
      <c r="B15" s="101">
        <v>15.0</v>
      </c>
      <c r="C15" s="101">
        <v>10.0</v>
      </c>
      <c r="D15" s="101">
        <f t="shared" ref="D15:D28" si="2">B15*$E$7+C15*$E$8</f>
        <v>15399.89</v>
      </c>
      <c r="E15" s="101" t="s">
        <v>422</v>
      </c>
      <c r="F15" s="73"/>
      <c r="G15" s="73"/>
      <c r="H15" s="73"/>
      <c r="I15" s="73"/>
      <c r="J15" s="344" t="s">
        <v>423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</row>
    <row r="16" ht="15.75" customHeight="1">
      <c r="A16" s="245">
        <v>45441.0</v>
      </c>
      <c r="B16" s="101">
        <v>10.0</v>
      </c>
      <c r="C16" s="101">
        <v>10.0</v>
      </c>
      <c r="D16" s="101">
        <f t="shared" si="2"/>
        <v>13119.92</v>
      </c>
      <c r="E16" s="101" t="s">
        <v>139</v>
      </c>
      <c r="H16" s="73"/>
      <c r="I16" s="73"/>
      <c r="J16" s="34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 ht="15.75" customHeight="1">
      <c r="A17" s="245"/>
      <c r="B17" s="101">
        <v>15.0</v>
      </c>
      <c r="C17" s="101">
        <v>10.0</v>
      </c>
      <c r="D17" s="101">
        <f t="shared" si="2"/>
        <v>15399.89</v>
      </c>
      <c r="E17" s="101" t="s">
        <v>424</v>
      </c>
      <c r="F17" s="73"/>
      <c r="G17" s="73"/>
      <c r="H17" s="73"/>
      <c r="I17" s="73"/>
      <c r="J17" s="348" t="s">
        <v>425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 ht="15.75" customHeight="1">
      <c r="A18" s="245"/>
      <c r="B18" s="101">
        <v>15.0</v>
      </c>
      <c r="C18" s="101">
        <v>10.0</v>
      </c>
      <c r="D18" s="101">
        <f t="shared" si="2"/>
        <v>15399.89</v>
      </c>
      <c r="E18" s="101" t="s">
        <v>424</v>
      </c>
      <c r="F18" s="73"/>
      <c r="G18" s="73"/>
      <c r="H18" s="73"/>
      <c r="I18" s="73"/>
      <c r="J18" s="348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</row>
    <row r="19" ht="15.75" customHeight="1">
      <c r="A19" s="245">
        <v>45579.0</v>
      </c>
      <c r="B19" s="101">
        <v>20.0</v>
      </c>
      <c r="C19" s="101">
        <v>20.0</v>
      </c>
      <c r="D19" s="101">
        <f t="shared" si="2"/>
        <v>26239.84</v>
      </c>
      <c r="E19" s="101" t="s">
        <v>139</v>
      </c>
      <c r="F19" s="73"/>
      <c r="G19" s="73"/>
      <c r="H19" s="73"/>
      <c r="I19" s="73"/>
      <c r="J19" s="344" t="s">
        <v>426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</row>
    <row r="20" ht="15.75" customHeight="1">
      <c r="A20" s="245"/>
      <c r="B20" s="101">
        <v>10.0</v>
      </c>
      <c r="C20" s="101">
        <v>5.0</v>
      </c>
      <c r="D20" s="101">
        <f t="shared" si="2"/>
        <v>8839.93</v>
      </c>
      <c r="E20" s="101"/>
      <c r="F20" s="73"/>
      <c r="G20" s="73"/>
      <c r="H20" s="73"/>
      <c r="I20" s="73"/>
      <c r="J20" s="344" t="s">
        <v>427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</row>
    <row r="21" ht="15.75" customHeight="1">
      <c r="A21" s="245"/>
      <c r="B21" s="101"/>
      <c r="C21" s="101"/>
      <c r="D21" s="101">
        <f t="shared" si="2"/>
        <v>0</v>
      </c>
      <c r="E21" s="101"/>
      <c r="F21" s="73"/>
      <c r="G21" s="73"/>
      <c r="H21" s="73"/>
      <c r="I21" s="73"/>
      <c r="J21" s="34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</row>
    <row r="22" ht="15.75" customHeight="1">
      <c r="A22" s="245"/>
      <c r="B22" s="101"/>
      <c r="C22" s="101"/>
      <c r="D22" s="101">
        <f t="shared" si="2"/>
        <v>0</v>
      </c>
      <c r="E22" s="101"/>
      <c r="F22" s="73"/>
      <c r="G22" s="73"/>
      <c r="H22" s="73"/>
      <c r="I22" s="73"/>
      <c r="J22" s="348" t="s">
        <v>428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</row>
    <row r="23" ht="15.75" customHeight="1">
      <c r="A23" s="245"/>
      <c r="B23" s="101"/>
      <c r="C23" s="101"/>
      <c r="D23" s="101">
        <f t="shared" si="2"/>
        <v>0</v>
      </c>
      <c r="E23" s="101"/>
      <c r="F23" s="73"/>
      <c r="G23" s="73"/>
      <c r="H23" s="73"/>
      <c r="I23" s="73"/>
      <c r="J23" s="348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</row>
    <row r="24" ht="15.75" customHeight="1">
      <c r="A24" s="245"/>
      <c r="B24" s="101"/>
      <c r="C24" s="101"/>
      <c r="D24" s="101">
        <f t="shared" si="2"/>
        <v>0</v>
      </c>
      <c r="E24" s="101"/>
      <c r="F24" s="73"/>
      <c r="G24" s="73"/>
      <c r="H24" s="73"/>
      <c r="I24" s="73"/>
      <c r="J24" s="344" t="s">
        <v>429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ht="15.75" customHeight="1">
      <c r="A25" s="245"/>
      <c r="B25" s="101"/>
      <c r="C25" s="101"/>
      <c r="D25" s="101">
        <f t="shared" si="2"/>
        <v>0</v>
      </c>
      <c r="E25" s="101"/>
      <c r="F25" s="73"/>
      <c r="G25" s="73"/>
      <c r="H25" s="73"/>
      <c r="I25" s="73"/>
      <c r="J25" s="344" t="s">
        <v>430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</row>
    <row r="26" ht="15.75" customHeight="1">
      <c r="A26" s="245"/>
      <c r="B26" s="101"/>
      <c r="C26" s="101"/>
      <c r="D26" s="101">
        <f t="shared" si="2"/>
        <v>0</v>
      </c>
      <c r="E26" s="101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</row>
    <row r="27" ht="15.75" customHeight="1">
      <c r="A27" s="247"/>
      <c r="B27" s="101"/>
      <c r="C27" s="101"/>
      <c r="D27" s="101">
        <f t="shared" si="2"/>
        <v>0</v>
      </c>
      <c r="E27" s="101"/>
      <c r="F27" s="73"/>
      <c r="G27" s="73"/>
      <c r="H27" s="73" t="s">
        <v>431</v>
      </c>
      <c r="I27" s="73"/>
      <c r="J27" s="73" t="s">
        <v>432</v>
      </c>
      <c r="K27" s="73" t="s">
        <v>433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</row>
    <row r="28" ht="15.75" customHeight="1">
      <c r="A28" s="190"/>
      <c r="B28" s="101"/>
      <c r="C28" s="101"/>
      <c r="D28" s="101">
        <f t="shared" si="2"/>
        <v>0</v>
      </c>
      <c r="E28" s="101"/>
      <c r="F28" s="73"/>
      <c r="G28" s="73"/>
      <c r="H28" s="73"/>
      <c r="I28" s="73"/>
      <c r="J28" s="73" t="s">
        <v>434</v>
      </c>
      <c r="K28" s="73" t="s">
        <v>435</v>
      </c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</row>
    <row r="29" ht="15.75" customHeight="1">
      <c r="A29" s="190"/>
      <c r="B29" s="101"/>
      <c r="C29" s="101"/>
      <c r="D29" s="101"/>
      <c r="E29" s="101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</row>
    <row r="30" ht="15.75" customHeight="1">
      <c r="A30" s="190"/>
      <c r="B30" s="101"/>
      <c r="C30" s="101"/>
      <c r="D30" s="101"/>
      <c r="E30" s="101"/>
      <c r="F30" s="73"/>
      <c r="G30" s="73"/>
      <c r="H30" s="73"/>
      <c r="I30" s="73"/>
      <c r="J30" s="350">
        <v>2023.0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</row>
    <row r="31" ht="15.75" customHeight="1">
      <c r="A31" s="190"/>
      <c r="B31" s="101"/>
      <c r="C31" s="101"/>
      <c r="D31" s="101"/>
      <c r="E31" s="101"/>
      <c r="F31" s="73"/>
      <c r="G31" s="73"/>
      <c r="H31" s="73"/>
      <c r="I31" s="73"/>
      <c r="J31" s="344" t="s">
        <v>436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</row>
    <row r="32" ht="15.75" customHeight="1">
      <c r="A32" s="190"/>
      <c r="B32" s="101"/>
      <c r="C32" s="101"/>
      <c r="D32" s="101"/>
      <c r="E32" s="101"/>
      <c r="F32" s="73"/>
      <c r="G32" s="73"/>
      <c r="H32" s="73"/>
      <c r="I32" s="73"/>
      <c r="J32" s="344" t="s">
        <v>437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</row>
    <row r="33" ht="15.75" customHeight="1">
      <c r="A33" s="190"/>
      <c r="B33" s="101"/>
      <c r="C33" s="101"/>
      <c r="D33" s="101"/>
      <c r="E33" s="101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</row>
    <row r="34" ht="15.75" customHeight="1">
      <c r="A34" s="190"/>
      <c r="B34" s="101"/>
      <c r="C34" s="101"/>
      <c r="D34" s="101"/>
      <c r="E34" s="101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</row>
    <row r="35" ht="15.75" customHeight="1">
      <c r="A35" s="190"/>
      <c r="B35" s="101"/>
      <c r="C35" s="101"/>
      <c r="D35" s="101"/>
      <c r="E35" s="101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</row>
    <row r="36" ht="15.75" customHeight="1">
      <c r="A36" s="190"/>
      <c r="B36" s="101"/>
      <c r="C36" s="101"/>
      <c r="D36" s="101"/>
      <c r="E36" s="101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</row>
    <row r="37" ht="15.75" customHeight="1">
      <c r="A37" s="190"/>
      <c r="B37" s="101"/>
      <c r="C37" s="101"/>
      <c r="D37" s="101"/>
      <c r="E37" s="101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</row>
    <row r="38" ht="15.75" customHeight="1">
      <c r="A38" s="190"/>
      <c r="B38" s="101"/>
      <c r="C38" s="101"/>
      <c r="D38" s="101"/>
      <c r="E38" s="101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ht="15.75" customHeight="1">
      <c r="A39" s="114"/>
      <c r="B39" s="101"/>
      <c r="C39" s="101"/>
      <c r="D39" s="101"/>
      <c r="E39" s="101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</row>
    <row r="40" ht="15.75" customHeight="1">
      <c r="A40" s="114"/>
      <c r="B40" s="101"/>
      <c r="C40" s="101"/>
      <c r="D40" s="101"/>
      <c r="E40" s="101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</row>
    <row r="41" ht="15.75" customHeight="1">
      <c r="A41" s="114"/>
      <c r="B41" s="101"/>
      <c r="C41" s="101"/>
      <c r="D41" s="101"/>
      <c r="E41" s="101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 ht="15.75" customHeight="1">
      <c r="A42" s="114"/>
      <c r="B42" s="101"/>
      <c r="C42" s="101"/>
      <c r="D42" s="101"/>
      <c r="E42" s="101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</row>
    <row r="43" ht="15.75" customHeight="1">
      <c r="A43" s="114"/>
      <c r="B43" s="101"/>
      <c r="C43" s="101"/>
      <c r="D43" s="101"/>
      <c r="E43" s="101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</row>
    <row r="44" ht="15.75" customHeight="1">
      <c r="A44" s="114"/>
      <c r="B44" s="101"/>
      <c r="C44" s="101"/>
      <c r="D44" s="101"/>
      <c r="E44" s="101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</row>
    <row r="45" ht="15.75" customHeight="1">
      <c r="A45" s="114"/>
      <c r="B45" s="101"/>
      <c r="C45" s="101"/>
      <c r="D45" s="101"/>
      <c r="E45" s="101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 ht="15.75" customHeight="1">
      <c r="A46" s="114"/>
      <c r="B46" s="101"/>
      <c r="C46" s="101"/>
      <c r="D46" s="101"/>
      <c r="E46" s="101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ht="15.75" customHeight="1">
      <c r="A47" s="114"/>
      <c r="B47" s="101"/>
      <c r="C47" s="101"/>
      <c r="D47" s="101"/>
      <c r="E47" s="101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 ht="15.75" customHeight="1">
      <c r="A48" s="114"/>
      <c r="B48" s="101"/>
      <c r="C48" s="101"/>
      <c r="D48" s="101"/>
      <c r="E48" s="101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 ht="15.75" customHeight="1">
      <c r="A49" s="114"/>
      <c r="B49" s="101"/>
      <c r="C49" s="101"/>
      <c r="D49" s="101"/>
      <c r="E49" s="101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 ht="15.75" customHeight="1">
      <c r="A50" s="114"/>
      <c r="B50" s="101"/>
      <c r="C50" s="101"/>
      <c r="D50" s="101"/>
      <c r="E50" s="101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 ht="15.75" customHeight="1">
      <c r="A51" s="93"/>
      <c r="B51" s="94"/>
      <c r="C51" s="94"/>
      <c r="D51" s="94"/>
      <c r="E51" s="94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C8"/>
    <mergeCell ref="B9:C9"/>
    <mergeCell ref="B10:C10"/>
    <mergeCell ref="B11:C11"/>
    <mergeCell ref="B13:C13"/>
    <mergeCell ref="D13:E13"/>
    <mergeCell ref="B2:C2"/>
    <mergeCell ref="B3:C3"/>
    <mergeCell ref="B5:C6"/>
    <mergeCell ref="D5:D6"/>
    <mergeCell ref="E5:E6"/>
    <mergeCell ref="I5:L5"/>
    <mergeCell ref="B7:C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12" t="s">
        <v>76</v>
      </c>
      <c r="B1" s="312" t="s">
        <v>438</v>
      </c>
    </row>
    <row r="2" ht="15.75" customHeight="1"/>
    <row r="3" ht="15.75" customHeight="1">
      <c r="B3" s="177" t="s">
        <v>94</v>
      </c>
      <c r="C3" s="178"/>
      <c r="D3" s="341" t="s">
        <v>439</v>
      </c>
      <c r="E3" s="341" t="s">
        <v>98</v>
      </c>
      <c r="F3" s="351" t="s">
        <v>365</v>
      </c>
      <c r="G3" s="153" t="s">
        <v>440</v>
      </c>
    </row>
    <row r="4" ht="15.75" customHeight="1">
      <c r="B4" s="181"/>
      <c r="C4" s="51"/>
      <c r="D4" s="16"/>
      <c r="E4" s="16"/>
      <c r="F4" s="199"/>
      <c r="G4" s="8" t="s">
        <v>441</v>
      </c>
    </row>
    <row r="5" ht="15.75" customHeight="1">
      <c r="B5" s="352" t="s">
        <v>442</v>
      </c>
      <c r="C5" s="3"/>
      <c r="D5" s="30">
        <v>35.57</v>
      </c>
      <c r="E5" s="315">
        <f t="shared" ref="E5:E14" si="1">D5*1.3</f>
        <v>46.241</v>
      </c>
      <c r="F5" s="353">
        <v>43.0</v>
      </c>
      <c r="G5" s="8" t="s">
        <v>443</v>
      </c>
    </row>
    <row r="6" ht="15.75" customHeight="1">
      <c r="B6" s="185" t="s">
        <v>444</v>
      </c>
      <c r="C6" s="3"/>
      <c r="D6" s="30">
        <v>51.29</v>
      </c>
      <c r="E6" s="315">
        <f t="shared" si="1"/>
        <v>66.677</v>
      </c>
      <c r="F6" s="353">
        <v>64.0</v>
      </c>
    </row>
    <row r="7" ht="15.75" customHeight="1">
      <c r="B7" s="352" t="s">
        <v>445</v>
      </c>
      <c r="C7" s="3"/>
      <c r="D7" s="30">
        <v>51.29</v>
      </c>
      <c r="E7" s="315">
        <f t="shared" si="1"/>
        <v>66.677</v>
      </c>
      <c r="F7" s="353">
        <v>63.0</v>
      </c>
    </row>
    <row r="8" ht="15.75" customHeight="1">
      <c r="B8" s="185" t="s">
        <v>446</v>
      </c>
      <c r="C8" s="3"/>
      <c r="D8" s="30">
        <v>51.29</v>
      </c>
      <c r="E8" s="315">
        <f t="shared" si="1"/>
        <v>66.677</v>
      </c>
      <c r="F8" s="353">
        <v>59.0</v>
      </c>
    </row>
    <row r="9" ht="15.75" customHeight="1">
      <c r="B9" s="185" t="s">
        <v>447</v>
      </c>
      <c r="C9" s="3"/>
      <c r="D9" s="30">
        <v>53.77</v>
      </c>
      <c r="E9" s="315">
        <f t="shared" si="1"/>
        <v>69.901</v>
      </c>
      <c r="F9" s="353">
        <v>66.0</v>
      </c>
      <c r="G9" s="8" t="s">
        <v>448</v>
      </c>
    </row>
    <row r="10" ht="15.75" customHeight="1">
      <c r="B10" s="185" t="s">
        <v>449</v>
      </c>
      <c r="C10" s="3"/>
      <c r="D10" s="30">
        <v>53.77</v>
      </c>
      <c r="E10" s="315">
        <f t="shared" si="1"/>
        <v>69.901</v>
      </c>
      <c r="F10" s="353">
        <v>66.0</v>
      </c>
      <c r="G10" s="8" t="s">
        <v>448</v>
      </c>
      <c r="I10" s="73"/>
    </row>
    <row r="11" ht="15.75" customHeight="1">
      <c r="B11" s="185" t="s">
        <v>450</v>
      </c>
      <c r="C11" s="3"/>
      <c r="D11" s="30">
        <v>53.77</v>
      </c>
      <c r="E11" s="315">
        <f t="shared" si="1"/>
        <v>69.901</v>
      </c>
      <c r="F11" s="353">
        <v>66.0</v>
      </c>
      <c r="G11" s="8" t="s">
        <v>448</v>
      </c>
    </row>
    <row r="12" ht="15.75" customHeight="1">
      <c r="B12" s="185" t="s">
        <v>451</v>
      </c>
      <c r="C12" s="3"/>
      <c r="D12" s="30">
        <v>47.99</v>
      </c>
      <c r="E12" s="315">
        <f t="shared" si="1"/>
        <v>62.387</v>
      </c>
      <c r="F12" s="353">
        <v>54.0</v>
      </c>
    </row>
    <row r="13" ht="15.75" customHeight="1">
      <c r="B13" s="185" t="s">
        <v>452</v>
      </c>
      <c r="C13" s="3"/>
      <c r="D13" s="30">
        <v>47.99</v>
      </c>
      <c r="E13" s="315">
        <f t="shared" si="1"/>
        <v>62.387</v>
      </c>
      <c r="F13" s="353">
        <v>54.0</v>
      </c>
    </row>
    <row r="14" ht="15.75" customHeight="1">
      <c r="B14" s="185" t="s">
        <v>453</v>
      </c>
      <c r="C14" s="3"/>
      <c r="D14" s="30">
        <v>47.99</v>
      </c>
      <c r="E14" s="315">
        <f t="shared" si="1"/>
        <v>62.387</v>
      </c>
      <c r="F14" s="353">
        <v>54.0</v>
      </c>
    </row>
    <row r="15" ht="15.75" customHeight="1">
      <c r="B15" s="185"/>
      <c r="C15" s="3"/>
      <c r="D15" s="30"/>
      <c r="E15" s="315"/>
      <c r="F15" s="323"/>
    </row>
    <row r="16" ht="15.75" customHeight="1">
      <c r="B16" s="185"/>
      <c r="C16" s="3"/>
      <c r="D16" s="30"/>
      <c r="E16" s="315"/>
      <c r="F16" s="323"/>
    </row>
    <row r="17" ht="15.75" customHeight="1">
      <c r="B17" s="327"/>
      <c r="C17" s="58"/>
      <c r="D17" s="329"/>
      <c r="E17" s="330"/>
      <c r="F17" s="331"/>
    </row>
    <row r="18" ht="15.75" customHeight="1"/>
    <row r="19" ht="15.75" customHeight="1"/>
    <row r="20" ht="15.75" customHeight="1">
      <c r="A20" s="309" t="s">
        <v>119</v>
      </c>
      <c r="B20" s="68" t="s">
        <v>120</v>
      </c>
      <c r="C20" s="69"/>
      <c r="D20" s="69"/>
      <c r="E20" s="69"/>
      <c r="F20" s="69"/>
      <c r="G20" s="69"/>
      <c r="H20" s="69"/>
      <c r="I20" s="69"/>
      <c r="J20" s="69"/>
      <c r="K20" s="69"/>
      <c r="L20" s="70" t="s">
        <v>121</v>
      </c>
      <c r="M20" s="71"/>
    </row>
    <row r="21" ht="15.75" customHeight="1">
      <c r="A21" s="49"/>
      <c r="B21" s="158" t="str">
        <f>B5</f>
        <v>Porteñitas </v>
      </c>
      <c r="C21" s="158" t="str">
        <f>B6</f>
        <v>Hogareñas Salvado </v>
      </c>
      <c r="D21" s="158" t="str">
        <f>B7</f>
        <v>Hogareñas Sesamo </v>
      </c>
      <c r="E21" s="158" t="str">
        <f>B8</f>
        <v>Hogareñas 7 semillas </v>
      </c>
      <c r="F21" s="158" t="str">
        <f>B9</f>
        <v>Saladix Pizza</v>
      </c>
      <c r="G21" s="158" t="str">
        <f>B10</f>
        <v>Saladix Duo</v>
      </c>
      <c r="H21" s="258" t="str">
        <f>B11</f>
        <v>Saladix Parmesano </v>
      </c>
      <c r="I21" s="258" t="str">
        <f>B12</f>
        <v>Maná Limon </v>
      </c>
      <c r="J21" s="258" t="str">
        <f>B13</f>
        <v>Maná Frutilla </v>
      </c>
      <c r="K21" s="258" t="str">
        <f>B14</f>
        <v>Maná Chocolate</v>
      </c>
      <c r="L21" s="258" t="s">
        <v>127</v>
      </c>
      <c r="M21" s="258" t="s">
        <v>128</v>
      </c>
    </row>
    <row r="22" ht="15.75" customHeight="1">
      <c r="A22" s="354">
        <v>44621.0</v>
      </c>
      <c r="B22" s="88">
        <v>10.0</v>
      </c>
      <c r="C22" s="88">
        <v>10.0</v>
      </c>
      <c r="D22" s="88"/>
      <c r="E22" s="88">
        <v>10.0</v>
      </c>
      <c r="F22" s="88">
        <v>6.0</v>
      </c>
      <c r="G22" s="88">
        <v>6.0</v>
      </c>
      <c r="H22" s="88">
        <v>6.0</v>
      </c>
      <c r="I22" s="101">
        <v>10.0</v>
      </c>
      <c r="J22" s="101">
        <v>10.0</v>
      </c>
      <c r="K22" s="101">
        <v>10.0</v>
      </c>
      <c r="L22" s="101">
        <f t="shared" ref="L22:L34" si="2">(B22*$D$5)+(C22*$D$6)+(D22*$D$7)+(E22*D$8)+(F22*D$9)+(G22*$D$10)+(H22*$D$11)+(I22*$D$12)+(J22*$D$13)+(K22*$D$14)</f>
        <v>3789.06</v>
      </c>
      <c r="M22" s="101" t="s">
        <v>454</v>
      </c>
    </row>
    <row r="23" ht="15.75" customHeight="1">
      <c r="A23" s="354">
        <v>45001.0</v>
      </c>
      <c r="B23" s="88"/>
      <c r="C23" s="88">
        <v>10.0</v>
      </c>
      <c r="D23" s="88">
        <v>10.0</v>
      </c>
      <c r="E23" s="88">
        <v>10.0</v>
      </c>
      <c r="F23" s="88"/>
      <c r="G23" s="88"/>
      <c r="H23" s="88"/>
      <c r="I23" s="101">
        <v>10.0</v>
      </c>
      <c r="J23" s="101">
        <v>10.0</v>
      </c>
      <c r="K23" s="101"/>
      <c r="L23" s="101">
        <f t="shared" si="2"/>
        <v>2498.5</v>
      </c>
      <c r="M23" s="101" t="s">
        <v>455</v>
      </c>
    </row>
    <row r="24" ht="15.75" customHeight="1">
      <c r="A24" s="354">
        <v>45029.0</v>
      </c>
      <c r="B24" s="88">
        <v>10.0</v>
      </c>
      <c r="C24" s="88">
        <v>10.0</v>
      </c>
      <c r="D24" s="88">
        <v>10.0</v>
      </c>
      <c r="E24" s="88">
        <v>0.0</v>
      </c>
      <c r="F24" s="88"/>
      <c r="G24" s="88"/>
      <c r="H24" s="88"/>
      <c r="I24" s="101">
        <v>10.0</v>
      </c>
      <c r="J24" s="101">
        <v>10.0</v>
      </c>
      <c r="K24" s="101">
        <v>0.0</v>
      </c>
      <c r="L24" s="101">
        <f t="shared" si="2"/>
        <v>2341.3</v>
      </c>
      <c r="M24" s="101"/>
    </row>
    <row r="25" ht="15.75" customHeight="1">
      <c r="A25" s="354">
        <v>45036.0</v>
      </c>
      <c r="B25" s="88">
        <v>10.0</v>
      </c>
      <c r="C25" s="88"/>
      <c r="D25" s="88"/>
      <c r="E25" s="88"/>
      <c r="F25" s="88">
        <v>6.0</v>
      </c>
      <c r="G25" s="88">
        <v>6.0</v>
      </c>
      <c r="H25" s="88">
        <v>6.0</v>
      </c>
      <c r="I25" s="101"/>
      <c r="J25" s="101"/>
      <c r="K25" s="101"/>
      <c r="L25" s="101">
        <f t="shared" si="2"/>
        <v>1323.56</v>
      </c>
      <c r="M25" s="101" t="s">
        <v>147</v>
      </c>
    </row>
    <row r="26" ht="15.75" customHeight="1">
      <c r="A26" s="354">
        <v>45043.0</v>
      </c>
      <c r="B26" s="88">
        <v>10.0</v>
      </c>
      <c r="C26" s="88"/>
      <c r="D26" s="88"/>
      <c r="E26" s="88"/>
      <c r="F26" s="88">
        <v>6.0</v>
      </c>
      <c r="G26" s="88">
        <v>6.0</v>
      </c>
      <c r="H26" s="88">
        <v>6.0</v>
      </c>
      <c r="I26" s="101"/>
      <c r="J26" s="101"/>
      <c r="K26" s="101"/>
      <c r="L26" s="101">
        <f t="shared" si="2"/>
        <v>1323.56</v>
      </c>
      <c r="M26" s="101"/>
      <c r="N26" s="8" t="s">
        <v>456</v>
      </c>
    </row>
    <row r="27" ht="15.75" customHeight="1">
      <c r="A27" s="354">
        <v>45050.0</v>
      </c>
      <c r="B27" s="88">
        <v>10.0</v>
      </c>
      <c r="C27" s="88"/>
      <c r="D27" s="88"/>
      <c r="E27" s="88"/>
      <c r="F27" s="88">
        <v>6.0</v>
      </c>
      <c r="G27" s="88">
        <v>6.0</v>
      </c>
      <c r="H27" s="88">
        <v>6.0</v>
      </c>
      <c r="I27" s="101"/>
      <c r="J27" s="101"/>
      <c r="K27" s="101"/>
      <c r="L27" s="101">
        <f t="shared" si="2"/>
        <v>1323.56</v>
      </c>
      <c r="M27" s="101" t="s">
        <v>457</v>
      </c>
    </row>
    <row r="28" ht="15.75" customHeight="1">
      <c r="A28" s="354">
        <v>45057.0</v>
      </c>
      <c r="B28" s="88"/>
      <c r="C28" s="88"/>
      <c r="D28" s="88"/>
      <c r="E28" s="88"/>
      <c r="F28" s="88"/>
      <c r="G28" s="88">
        <v>6.0</v>
      </c>
      <c r="H28" s="88">
        <v>6.0</v>
      </c>
      <c r="I28" s="101"/>
      <c r="J28" s="101"/>
      <c r="K28" s="101"/>
      <c r="L28" s="101">
        <f t="shared" si="2"/>
        <v>645.24</v>
      </c>
      <c r="M28" s="101" t="s">
        <v>457</v>
      </c>
      <c r="N28" s="8" t="s">
        <v>458</v>
      </c>
    </row>
    <row r="29" ht="15.75" customHeight="1">
      <c r="A29" s="354">
        <v>45064.0</v>
      </c>
      <c r="B29" s="88">
        <v>10.0</v>
      </c>
      <c r="C29" s="88"/>
      <c r="D29" s="88"/>
      <c r="E29" s="88"/>
      <c r="F29" s="88">
        <v>6.0</v>
      </c>
      <c r="G29" s="88">
        <v>6.0</v>
      </c>
      <c r="H29" s="88">
        <v>6.0</v>
      </c>
      <c r="I29" s="101"/>
      <c r="J29" s="101"/>
      <c r="K29" s="101"/>
      <c r="L29" s="101">
        <f t="shared" si="2"/>
        <v>1323.56</v>
      </c>
      <c r="M29" s="101" t="s">
        <v>459</v>
      </c>
    </row>
    <row r="30" ht="15.75" customHeight="1">
      <c r="A30" s="354">
        <v>45078.0</v>
      </c>
      <c r="B30" s="88">
        <v>10.0</v>
      </c>
      <c r="C30" s="88">
        <v>10.0</v>
      </c>
      <c r="D30" s="88">
        <v>10.0</v>
      </c>
      <c r="E30" s="88">
        <v>10.0</v>
      </c>
      <c r="F30" s="88">
        <v>6.0</v>
      </c>
      <c r="G30" s="88">
        <v>6.0</v>
      </c>
      <c r="H30" s="88"/>
      <c r="I30" s="101">
        <v>10.0</v>
      </c>
      <c r="J30" s="101"/>
      <c r="K30" s="101">
        <v>10.0</v>
      </c>
      <c r="L30" s="101">
        <f t="shared" si="2"/>
        <v>3499.44</v>
      </c>
      <c r="M30" s="101" t="s">
        <v>460</v>
      </c>
    </row>
    <row r="31" ht="15.75" customHeight="1">
      <c r="A31" s="206"/>
      <c r="B31" s="88">
        <v>5.0</v>
      </c>
      <c r="C31" s="88">
        <v>5.0</v>
      </c>
      <c r="D31" s="88">
        <v>5.0</v>
      </c>
      <c r="E31" s="88">
        <v>5.0</v>
      </c>
      <c r="F31" s="88">
        <v>6.0</v>
      </c>
      <c r="G31" s="88"/>
      <c r="H31" s="88">
        <v>6.0</v>
      </c>
      <c r="I31" s="101"/>
      <c r="J31" s="101">
        <v>10.0</v>
      </c>
      <c r="K31" s="101"/>
      <c r="L31" s="101">
        <f t="shared" si="2"/>
        <v>2072.34</v>
      </c>
      <c r="M31" s="101" t="s">
        <v>461</v>
      </c>
    </row>
    <row r="32" ht="15.75" customHeight="1">
      <c r="A32" s="354">
        <v>45099.0</v>
      </c>
      <c r="B32" s="88">
        <v>10.0</v>
      </c>
      <c r="C32" s="88">
        <v>5.0</v>
      </c>
      <c r="D32" s="88">
        <v>5.0</v>
      </c>
      <c r="E32" s="88">
        <v>5.0</v>
      </c>
      <c r="F32" s="88">
        <v>6.0</v>
      </c>
      <c r="G32" s="88">
        <v>6.0</v>
      </c>
      <c r="H32" s="88">
        <v>6.0</v>
      </c>
      <c r="I32" s="101"/>
      <c r="J32" s="101">
        <v>10.0</v>
      </c>
      <c r="K32" s="101"/>
      <c r="L32" s="101">
        <f t="shared" si="2"/>
        <v>2572.81</v>
      </c>
      <c r="M32" s="101" t="s">
        <v>462</v>
      </c>
    </row>
    <row r="33" ht="15.75" customHeight="1">
      <c r="A33" s="355">
        <v>45106.0</v>
      </c>
      <c r="B33" s="88">
        <v>10.0</v>
      </c>
      <c r="C33" s="88">
        <v>5.0</v>
      </c>
      <c r="D33" s="88">
        <v>5.0</v>
      </c>
      <c r="E33" s="88">
        <v>5.0</v>
      </c>
      <c r="F33" s="88"/>
      <c r="G33" s="88"/>
      <c r="H33" s="88"/>
      <c r="I33" s="101"/>
      <c r="J33" s="101"/>
      <c r="K33" s="101"/>
      <c r="L33" s="101">
        <f t="shared" si="2"/>
        <v>1125.05</v>
      </c>
      <c r="M33" s="101" t="s">
        <v>463</v>
      </c>
    </row>
    <row r="34" ht="15.75" customHeight="1">
      <c r="A34" s="206"/>
      <c r="B34" s="88"/>
      <c r="C34" s="88"/>
      <c r="D34" s="88"/>
      <c r="E34" s="88"/>
      <c r="F34" s="88"/>
      <c r="G34" s="88"/>
      <c r="H34" s="88"/>
      <c r="I34" s="101"/>
      <c r="J34" s="101"/>
      <c r="K34" s="101"/>
      <c r="L34" s="101">
        <f t="shared" si="2"/>
        <v>0</v>
      </c>
      <c r="M34" s="10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4"/>
    <mergeCell ref="D3:D4"/>
    <mergeCell ref="E3:E4"/>
    <mergeCell ref="F3:F4"/>
    <mergeCell ref="B5:C5"/>
    <mergeCell ref="B6:C6"/>
    <mergeCell ref="B7:C7"/>
    <mergeCell ref="B15:C15"/>
    <mergeCell ref="B16:C16"/>
    <mergeCell ref="B17:C17"/>
    <mergeCell ref="A20:A21"/>
    <mergeCell ref="B20:K20"/>
    <mergeCell ref="L20:M20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5.88"/>
  </cols>
  <sheetData>
    <row r="1" ht="15.75" customHeight="1">
      <c r="A1" s="73"/>
      <c r="B1" s="73"/>
      <c r="C1" s="73"/>
      <c r="D1" s="73"/>
      <c r="E1" s="73"/>
      <c r="F1" s="73"/>
      <c r="G1" s="73"/>
      <c r="H1" s="73"/>
    </row>
    <row r="2" ht="15.75" customHeight="1">
      <c r="A2" s="175" t="s">
        <v>221</v>
      </c>
      <c r="B2" s="175"/>
      <c r="C2" s="175"/>
      <c r="D2" s="175"/>
      <c r="E2" s="175" t="s">
        <v>464</v>
      </c>
      <c r="G2" s="73"/>
      <c r="H2" s="73"/>
    </row>
    <row r="3" ht="15.75" customHeight="1">
      <c r="A3" s="73"/>
      <c r="B3" s="73"/>
      <c r="C3" s="73"/>
      <c r="D3" s="73"/>
      <c r="E3" s="73"/>
      <c r="G3" s="73"/>
      <c r="H3" s="73"/>
    </row>
    <row r="4" ht="15.75" customHeight="1">
      <c r="A4" s="73"/>
      <c r="B4" s="73"/>
      <c r="C4" s="73"/>
      <c r="D4" s="73"/>
      <c r="E4" s="73"/>
      <c r="F4" s="73"/>
      <c r="G4" s="176" t="s">
        <v>465</v>
      </c>
      <c r="H4" s="73"/>
    </row>
    <row r="5" ht="15.75" customHeight="1">
      <c r="A5" s="73"/>
      <c r="B5" s="356"/>
      <c r="C5" s="356"/>
      <c r="D5" s="356"/>
      <c r="E5" s="177" t="s">
        <v>94</v>
      </c>
      <c r="F5" s="178"/>
      <c r="G5" s="239" t="s">
        <v>407</v>
      </c>
      <c r="H5" s="239" t="s">
        <v>466</v>
      </c>
    </row>
    <row r="6" ht="15.75" customHeight="1">
      <c r="A6" s="73"/>
      <c r="B6" s="356"/>
      <c r="C6" s="356"/>
      <c r="D6" s="356"/>
      <c r="E6" s="181"/>
      <c r="F6" s="51"/>
      <c r="G6" s="199"/>
      <c r="H6" s="199"/>
      <c r="I6" s="357" t="s">
        <v>176</v>
      </c>
      <c r="J6" s="357" t="s">
        <v>467</v>
      </c>
    </row>
    <row r="7" ht="15.75" customHeight="1">
      <c r="A7" s="73"/>
      <c r="B7" s="81"/>
      <c r="C7" s="81"/>
      <c r="D7" s="73" t="s">
        <v>468</v>
      </c>
      <c r="E7" s="185" t="s">
        <v>469</v>
      </c>
      <c r="F7" s="3"/>
      <c r="G7" s="201">
        <f>H7/24</f>
        <v>19.13</v>
      </c>
      <c r="H7" s="8">
        <v>459.12</v>
      </c>
      <c r="I7" s="55">
        <v>25.0</v>
      </c>
      <c r="J7" s="55">
        <v>22.0</v>
      </c>
    </row>
    <row r="8" ht="15.75" customHeight="1">
      <c r="A8" s="73"/>
      <c r="B8" s="81"/>
      <c r="C8" s="81"/>
      <c r="D8" s="73" t="s">
        <v>470</v>
      </c>
      <c r="E8" s="185" t="s">
        <v>471</v>
      </c>
      <c r="F8" s="3"/>
      <c r="G8" s="201">
        <v>44.08</v>
      </c>
      <c r="I8" s="358">
        <v>57.0</v>
      </c>
      <c r="J8" s="55">
        <v>53.0</v>
      </c>
    </row>
    <row r="9" ht="15.75" customHeight="1">
      <c r="A9" s="73"/>
      <c r="B9" s="73"/>
      <c r="C9" s="73"/>
      <c r="D9" s="73" t="s">
        <v>468</v>
      </c>
      <c r="E9" s="347" t="s">
        <v>472</v>
      </c>
      <c r="F9" s="3"/>
      <c r="G9" s="201">
        <v>21.63</v>
      </c>
      <c r="I9" s="55">
        <f>G9*1.3</f>
        <v>28.119</v>
      </c>
      <c r="J9" s="55">
        <v>24.0</v>
      </c>
    </row>
    <row r="10" ht="15.75" customHeight="1">
      <c r="A10" s="73"/>
      <c r="B10" s="73"/>
      <c r="C10" s="73"/>
      <c r="D10" s="73" t="s">
        <v>470</v>
      </c>
      <c r="E10" s="359" t="s">
        <v>473</v>
      </c>
      <c r="F10" s="210"/>
      <c r="G10" s="214">
        <v>47.4</v>
      </c>
      <c r="I10" s="55">
        <v>60.0</v>
      </c>
      <c r="J10" s="55">
        <v>57.0</v>
      </c>
    </row>
    <row r="11" ht="15.75" customHeight="1">
      <c r="A11" s="73"/>
      <c r="B11" s="73"/>
      <c r="C11" s="73"/>
      <c r="D11" s="73"/>
      <c r="E11" s="347" t="s">
        <v>474</v>
      </c>
      <c r="F11" s="3"/>
      <c r="G11" s="360">
        <f>H11/100</f>
        <v>2.662</v>
      </c>
      <c r="H11" s="73">
        <v>266.2</v>
      </c>
      <c r="I11" s="55">
        <v>60.0</v>
      </c>
      <c r="J11" s="55">
        <v>57.0</v>
      </c>
    </row>
    <row r="12" ht="15.75" customHeight="1">
      <c r="A12" s="73"/>
      <c r="B12" s="73"/>
      <c r="C12" s="73"/>
      <c r="D12" s="73"/>
      <c r="E12" s="349" t="s">
        <v>475</v>
      </c>
      <c r="F12" s="58"/>
      <c r="G12" s="361">
        <f>H12/20</f>
        <v>4.5185</v>
      </c>
      <c r="H12" s="73">
        <v>90.37</v>
      </c>
      <c r="I12" s="55">
        <v>60.0</v>
      </c>
      <c r="J12" s="55">
        <v>57.0</v>
      </c>
    </row>
    <row r="13" ht="15.75" customHeight="1">
      <c r="A13" s="73"/>
      <c r="B13" s="73"/>
      <c r="C13" s="73"/>
      <c r="D13" s="73"/>
      <c r="E13" s="349" t="s">
        <v>476</v>
      </c>
      <c r="F13" s="58"/>
      <c r="G13" s="361">
        <f>H13/10</f>
        <v>4.815</v>
      </c>
      <c r="H13" s="73">
        <v>48.15</v>
      </c>
      <c r="I13" s="55">
        <v>60.0</v>
      </c>
      <c r="J13" s="55">
        <v>57.0</v>
      </c>
    </row>
    <row r="14" ht="15.75" customHeight="1">
      <c r="A14" s="73"/>
      <c r="B14" s="73"/>
      <c r="C14" s="73"/>
      <c r="D14" s="73"/>
      <c r="E14" s="73"/>
      <c r="F14" s="73"/>
      <c r="G14" s="73"/>
      <c r="H14" s="73"/>
    </row>
    <row r="15" ht="15.75" customHeight="1">
      <c r="A15" s="73"/>
      <c r="B15" s="73"/>
      <c r="C15" s="73"/>
      <c r="D15" s="73"/>
      <c r="E15" s="73"/>
      <c r="F15" s="73"/>
      <c r="G15" s="73"/>
      <c r="H15" s="73"/>
    </row>
    <row r="16" ht="15.75" customHeight="1">
      <c r="A16" s="158" t="s">
        <v>119</v>
      </c>
      <c r="B16" s="68"/>
      <c r="C16" s="68"/>
      <c r="D16" s="68" t="s">
        <v>120</v>
      </c>
      <c r="E16" s="69"/>
      <c r="F16" s="69"/>
      <c r="G16" s="70" t="s">
        <v>121</v>
      </c>
      <c r="H16" s="71"/>
    </row>
    <row r="17" ht="15.75" customHeight="1">
      <c r="A17" s="158" t="s">
        <v>119</v>
      </c>
      <c r="B17" s="158" t="s">
        <v>477</v>
      </c>
      <c r="C17" s="158" t="str">
        <f>E12</f>
        <v>Té sabores </v>
      </c>
      <c r="D17" s="158" t="s">
        <v>474</v>
      </c>
      <c r="E17" s="158" t="s">
        <v>478</v>
      </c>
      <c r="F17" s="158" t="s">
        <v>479</v>
      </c>
      <c r="G17" s="258" t="s">
        <v>127</v>
      </c>
      <c r="H17" s="258" t="s">
        <v>128</v>
      </c>
    </row>
    <row r="18" ht="15.75" customHeight="1">
      <c r="A18" s="362" t="s">
        <v>480</v>
      </c>
      <c r="B18" s="69"/>
      <c r="C18" s="69"/>
      <c r="D18" s="69"/>
      <c r="E18" s="69"/>
      <c r="F18" s="69"/>
      <c r="G18" s="69"/>
      <c r="H18" s="71"/>
    </row>
    <row r="19" ht="15.75" customHeight="1">
      <c r="A19" s="236">
        <v>45345.0</v>
      </c>
      <c r="B19" s="114"/>
      <c r="C19" s="114"/>
      <c r="D19" s="114"/>
      <c r="E19" s="101">
        <v>24.0</v>
      </c>
      <c r="F19" s="101">
        <v>24.0</v>
      </c>
      <c r="G19" s="363">
        <f>E19*$G$7+F19*$G$9+D19*$G$11</f>
        <v>978.24</v>
      </c>
      <c r="H19" s="101"/>
    </row>
    <row r="20" ht="15.75" customHeight="1">
      <c r="A20" s="244">
        <v>45365.0</v>
      </c>
      <c r="B20" s="114"/>
      <c r="C20" s="114"/>
      <c r="D20" s="114"/>
      <c r="E20" s="101">
        <v>24.0</v>
      </c>
      <c r="F20" s="101">
        <v>48.0</v>
      </c>
      <c r="G20" s="363">
        <f t="shared" ref="G20:G34" si="1">E20*$G$7+F20*$G$9+D20*$G$11+C20*$G$12+B20*$G$13</f>
        <v>1497.36</v>
      </c>
      <c r="H20" s="101" t="s">
        <v>481</v>
      </c>
    </row>
    <row r="21" ht="15.75" customHeight="1">
      <c r="A21" s="242"/>
      <c r="B21" s="114">
        <v>2.0</v>
      </c>
      <c r="C21" s="114">
        <v>4.0</v>
      </c>
      <c r="D21" s="114">
        <v>1.0</v>
      </c>
      <c r="E21" s="101">
        <v>24.0</v>
      </c>
      <c r="F21" s="101">
        <v>24.0</v>
      </c>
      <c r="G21" s="363">
        <f t="shared" si="1"/>
        <v>1008.606</v>
      </c>
      <c r="H21" s="101"/>
    </row>
    <row r="22" ht="15.75" customHeight="1">
      <c r="A22" s="242"/>
      <c r="B22" s="114">
        <v>2.0</v>
      </c>
      <c r="C22" s="114">
        <v>5.0</v>
      </c>
      <c r="D22" s="114">
        <v>1.0</v>
      </c>
      <c r="E22" s="101">
        <v>24.0</v>
      </c>
      <c r="F22" s="101">
        <v>24.0</v>
      </c>
      <c r="G22" s="363">
        <f t="shared" si="1"/>
        <v>1013.1245</v>
      </c>
      <c r="H22" s="101" t="s">
        <v>482</v>
      </c>
      <c r="J22" s="333">
        <v>48.0</v>
      </c>
      <c r="K22" s="334" t="s">
        <v>483</v>
      </c>
    </row>
    <row r="23" ht="15.75" customHeight="1">
      <c r="A23" s="242">
        <v>45414.0</v>
      </c>
      <c r="B23" s="114">
        <v>1.0</v>
      </c>
      <c r="C23" s="114">
        <v>4.0</v>
      </c>
      <c r="D23" s="114"/>
      <c r="E23" s="101">
        <v>24.0</v>
      </c>
      <c r="F23" s="101">
        <v>24.0</v>
      </c>
      <c r="G23" s="363">
        <f t="shared" si="1"/>
        <v>1001.129</v>
      </c>
      <c r="H23" s="101"/>
      <c r="J23" s="335">
        <v>48.0</v>
      </c>
      <c r="K23" s="336" t="s">
        <v>484</v>
      </c>
    </row>
    <row r="24" ht="15.75" customHeight="1">
      <c r="A24" s="245">
        <v>45421.0</v>
      </c>
      <c r="B24" s="114">
        <v>1.0</v>
      </c>
      <c r="C24" s="114">
        <v>4.0</v>
      </c>
      <c r="D24" s="114"/>
      <c r="E24" s="101">
        <v>24.0</v>
      </c>
      <c r="F24" s="101">
        <v>24.0</v>
      </c>
      <c r="G24" s="363">
        <f t="shared" si="1"/>
        <v>1001.129</v>
      </c>
      <c r="H24" s="248"/>
      <c r="J24" s="335">
        <v>2.0</v>
      </c>
      <c r="K24" s="336" t="s">
        <v>485</v>
      </c>
    </row>
    <row r="25" ht="15.75" customHeight="1">
      <c r="A25" s="236">
        <v>45442.0</v>
      </c>
      <c r="B25" s="114"/>
      <c r="C25" s="114"/>
      <c r="D25" s="114"/>
      <c r="E25" s="101">
        <v>24.0</v>
      </c>
      <c r="F25" s="101">
        <v>24.0</v>
      </c>
      <c r="G25" s="363">
        <f t="shared" si="1"/>
        <v>978.24</v>
      </c>
      <c r="H25" s="101"/>
      <c r="J25" s="337"/>
      <c r="K25" s="336" t="s">
        <v>486</v>
      </c>
    </row>
    <row r="26" ht="15.75" customHeight="1">
      <c r="A26" s="245">
        <v>45449.0</v>
      </c>
      <c r="B26" s="114"/>
      <c r="C26" s="114"/>
      <c r="D26" s="114"/>
      <c r="E26" s="101">
        <v>24.0</v>
      </c>
      <c r="F26" s="101">
        <v>24.0</v>
      </c>
      <c r="G26" s="363">
        <f t="shared" si="1"/>
        <v>978.24</v>
      </c>
      <c r="H26" s="248"/>
      <c r="J26" s="337"/>
      <c r="K26" s="336" t="s">
        <v>487</v>
      </c>
    </row>
    <row r="27" ht="15.75" customHeight="1">
      <c r="A27" s="245">
        <v>45456.0</v>
      </c>
      <c r="B27" s="114"/>
      <c r="C27" s="114"/>
      <c r="D27" s="114"/>
      <c r="E27" s="101">
        <v>24.0</v>
      </c>
      <c r="F27" s="101">
        <v>24.0</v>
      </c>
      <c r="G27" s="363">
        <f t="shared" si="1"/>
        <v>978.24</v>
      </c>
      <c r="H27" s="248"/>
      <c r="J27" s="337"/>
      <c r="K27" s="336" t="s">
        <v>488</v>
      </c>
    </row>
    <row r="28" ht="15.75" customHeight="1">
      <c r="A28" s="245">
        <v>45477.0</v>
      </c>
      <c r="B28" s="114"/>
      <c r="C28" s="114">
        <v>1.0</v>
      </c>
      <c r="D28" s="114">
        <v>1.0</v>
      </c>
      <c r="E28" s="101">
        <v>24.0</v>
      </c>
      <c r="F28" s="101">
        <v>24.0</v>
      </c>
      <c r="G28" s="363">
        <f t="shared" si="1"/>
        <v>985.4205</v>
      </c>
      <c r="H28" s="248"/>
      <c r="J28" s="335">
        <v>1.0</v>
      </c>
      <c r="K28" s="336" t="s">
        <v>489</v>
      </c>
    </row>
    <row r="29" ht="15.75" customHeight="1">
      <c r="A29" s="245">
        <v>45512.0</v>
      </c>
      <c r="B29" s="114">
        <v>1.0</v>
      </c>
      <c r="C29" s="114">
        <v>1.0</v>
      </c>
      <c r="D29" s="114"/>
      <c r="E29" s="101">
        <v>24.0</v>
      </c>
      <c r="F29" s="101">
        <v>24.0</v>
      </c>
      <c r="G29" s="363">
        <f t="shared" si="1"/>
        <v>987.5735</v>
      </c>
      <c r="H29" s="101"/>
      <c r="J29" s="364">
        <v>1.0</v>
      </c>
      <c r="K29" s="339" t="s">
        <v>476</v>
      </c>
    </row>
    <row r="30" ht="15.75" customHeight="1">
      <c r="A30" s="245"/>
      <c r="B30" s="114">
        <v>1.0</v>
      </c>
      <c r="C30" s="114">
        <v>1.0</v>
      </c>
      <c r="D30" s="114">
        <v>2.0</v>
      </c>
      <c r="E30" s="101">
        <v>48.0</v>
      </c>
      <c r="F30" s="101">
        <v>48.0</v>
      </c>
      <c r="G30" s="363">
        <f t="shared" si="1"/>
        <v>1971.1375</v>
      </c>
      <c r="H30" s="101"/>
    </row>
    <row r="31" ht="15.75" customHeight="1">
      <c r="A31" s="245"/>
      <c r="B31" s="114"/>
      <c r="C31" s="114"/>
      <c r="D31" s="114"/>
      <c r="E31" s="101"/>
      <c r="F31" s="101"/>
      <c r="G31" s="363">
        <f t="shared" si="1"/>
        <v>0</v>
      </c>
      <c r="H31" s="101"/>
    </row>
    <row r="32" ht="15.75" customHeight="1">
      <c r="A32" s="245"/>
      <c r="B32" s="114"/>
      <c r="C32" s="114"/>
      <c r="D32" s="114"/>
      <c r="E32" s="101"/>
      <c r="F32" s="101"/>
      <c r="G32" s="363">
        <f t="shared" si="1"/>
        <v>0</v>
      </c>
      <c r="H32" s="101"/>
    </row>
    <row r="33" ht="15.75" customHeight="1">
      <c r="A33" s="190"/>
      <c r="B33" s="114"/>
      <c r="C33" s="114"/>
      <c r="D33" s="114"/>
      <c r="E33" s="101"/>
      <c r="F33" s="101"/>
      <c r="G33" s="363">
        <f t="shared" si="1"/>
        <v>0</v>
      </c>
      <c r="H33" s="101"/>
    </row>
    <row r="34" ht="15.75" customHeight="1">
      <c r="A34" s="190"/>
      <c r="B34" s="114"/>
      <c r="C34" s="114"/>
      <c r="D34" s="114"/>
      <c r="E34" s="101"/>
      <c r="F34" s="101"/>
      <c r="G34" s="363">
        <f t="shared" si="1"/>
        <v>0</v>
      </c>
      <c r="H34" s="10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9:F9"/>
    <mergeCell ref="E10:F10"/>
    <mergeCell ref="E11:F11"/>
    <mergeCell ref="E12:F12"/>
    <mergeCell ref="E13:F13"/>
    <mergeCell ref="D16:F16"/>
    <mergeCell ref="G16:H16"/>
    <mergeCell ref="A18:H18"/>
    <mergeCell ref="E2:F2"/>
    <mergeCell ref="E3:F3"/>
    <mergeCell ref="E5:F6"/>
    <mergeCell ref="G5:G6"/>
    <mergeCell ref="H5:H6"/>
    <mergeCell ref="E7:F7"/>
    <mergeCell ref="E8:F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5" width="12.63"/>
    <col customWidth="1" min="6" max="6" width="11.13"/>
  </cols>
  <sheetData>
    <row r="1" ht="15.75" customHeight="1">
      <c r="A1" s="365" t="s">
        <v>174</v>
      </c>
      <c r="B1" s="68" t="s">
        <v>120</v>
      </c>
      <c r="C1" s="69"/>
      <c r="D1" s="70" t="s">
        <v>121</v>
      </c>
      <c r="E1" s="71"/>
      <c r="F1" s="73"/>
      <c r="G1" s="157" t="s">
        <v>122</v>
      </c>
      <c r="H1" s="69"/>
      <c r="I1" s="71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ht="15.75" customHeight="1">
      <c r="A2" s="82"/>
      <c r="B2" s="158" t="s">
        <v>59</v>
      </c>
      <c r="C2" s="158" t="s">
        <v>490</v>
      </c>
      <c r="D2" s="258" t="s">
        <v>127</v>
      </c>
      <c r="E2" s="258" t="s">
        <v>128</v>
      </c>
      <c r="F2" s="73"/>
      <c r="G2" s="84" t="s">
        <v>133</v>
      </c>
      <c r="H2" s="84" t="s">
        <v>351</v>
      </c>
      <c r="I2" s="84" t="s">
        <v>136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3" ht="15.75" customHeight="1">
      <c r="A3" s="109">
        <v>45707.0</v>
      </c>
      <c r="B3" s="88">
        <v>20.0</v>
      </c>
      <c r="C3" s="88">
        <v>12.0</v>
      </c>
      <c r="D3" s="88">
        <f t="shared" ref="D3:D34" si="1">B3*$N$9+C3*$N$10</f>
        <v>1615</v>
      </c>
      <c r="E3" s="88"/>
      <c r="F3" s="73"/>
      <c r="G3" s="366">
        <f t="shared" ref="G3:G34" si="2">D3</f>
        <v>1615</v>
      </c>
      <c r="H3" s="363"/>
      <c r="I3" s="367"/>
      <c r="J3" s="73"/>
      <c r="S3" s="73"/>
      <c r="T3" s="73"/>
      <c r="U3" s="73"/>
      <c r="V3" s="73"/>
      <c r="W3" s="73"/>
      <c r="X3" s="73"/>
      <c r="Y3" s="73"/>
    </row>
    <row r="4" ht="15.75" customHeight="1">
      <c r="A4" s="368"/>
      <c r="B4" s="88">
        <f>60</f>
        <v>60</v>
      </c>
      <c r="C4" s="88">
        <v>24.0</v>
      </c>
      <c r="D4" s="88">
        <f t="shared" si="1"/>
        <v>4110</v>
      </c>
      <c r="E4" s="101"/>
      <c r="F4" s="73"/>
      <c r="G4" s="318">
        <f t="shared" si="2"/>
        <v>4110</v>
      </c>
      <c r="H4" s="94"/>
      <c r="I4" s="367"/>
      <c r="J4" s="73"/>
      <c r="S4" s="73"/>
      <c r="T4" s="73"/>
      <c r="U4" s="73"/>
      <c r="V4" s="73"/>
      <c r="W4" s="73"/>
      <c r="X4" s="73"/>
      <c r="Y4" s="73"/>
    </row>
    <row r="5" ht="15.75" customHeight="1">
      <c r="A5" s="109"/>
      <c r="B5" s="88"/>
      <c r="C5" s="88"/>
      <c r="D5" s="88">
        <f t="shared" si="1"/>
        <v>0</v>
      </c>
      <c r="E5" s="101"/>
      <c r="F5" s="73"/>
      <c r="G5" s="318">
        <f t="shared" si="2"/>
        <v>0</v>
      </c>
      <c r="H5" s="94"/>
      <c r="I5" s="367"/>
      <c r="J5" s="73"/>
      <c r="S5" s="73"/>
      <c r="T5" s="73"/>
      <c r="U5" s="73"/>
      <c r="V5" s="73"/>
      <c r="W5" s="73"/>
      <c r="X5" s="73"/>
      <c r="Y5" s="73"/>
    </row>
    <row r="6" ht="15.75" customHeight="1">
      <c r="A6" s="109"/>
      <c r="B6" s="88"/>
      <c r="C6" s="88"/>
      <c r="D6" s="88">
        <f t="shared" si="1"/>
        <v>0</v>
      </c>
      <c r="E6" s="101"/>
      <c r="F6" s="73"/>
      <c r="G6" s="318">
        <f t="shared" si="2"/>
        <v>0</v>
      </c>
      <c r="H6" s="94"/>
      <c r="I6" s="367"/>
      <c r="J6" s="73"/>
      <c r="K6" s="73"/>
      <c r="L6" s="73"/>
      <c r="M6" s="73"/>
      <c r="N6" s="176" t="s">
        <v>491</v>
      </c>
      <c r="O6" s="73" t="s">
        <v>492</v>
      </c>
      <c r="P6" s="73" t="s">
        <v>493</v>
      </c>
      <c r="Q6" s="73" t="s">
        <v>494</v>
      </c>
      <c r="R6" s="73"/>
      <c r="S6" s="73"/>
      <c r="T6" s="73"/>
      <c r="U6" s="73"/>
      <c r="V6" s="73"/>
      <c r="W6" s="73"/>
      <c r="X6" s="73"/>
      <c r="Y6" s="73"/>
    </row>
    <row r="7" ht="15.75" customHeight="1">
      <c r="A7" s="109"/>
      <c r="B7" s="88"/>
      <c r="C7" s="88"/>
      <c r="D7" s="88">
        <f t="shared" si="1"/>
        <v>0</v>
      </c>
      <c r="E7" s="101"/>
      <c r="F7" s="73"/>
      <c r="G7" s="318">
        <f t="shared" si="2"/>
        <v>0</v>
      </c>
      <c r="H7" s="94"/>
      <c r="I7" s="367"/>
      <c r="J7" s="73"/>
      <c r="K7" s="177" t="s">
        <v>94</v>
      </c>
      <c r="L7" s="191"/>
      <c r="M7" s="178"/>
      <c r="N7" s="179" t="s">
        <v>96</v>
      </c>
      <c r="O7" s="180" t="s">
        <v>97</v>
      </c>
      <c r="P7" s="180" t="s">
        <v>176</v>
      </c>
      <c r="Q7" s="369" t="s">
        <v>221</v>
      </c>
      <c r="R7" s="370" t="s">
        <v>495</v>
      </c>
      <c r="S7" s="73"/>
      <c r="T7" s="73"/>
      <c r="U7" s="73"/>
      <c r="V7" s="73"/>
      <c r="W7" s="73"/>
      <c r="X7" s="73"/>
      <c r="Y7" s="73"/>
    </row>
    <row r="8" ht="15.75" customHeight="1">
      <c r="A8" s="109"/>
      <c r="B8" s="88"/>
      <c r="C8" s="88"/>
      <c r="D8" s="88">
        <f t="shared" si="1"/>
        <v>0</v>
      </c>
      <c r="E8" s="101"/>
      <c r="F8" s="73"/>
      <c r="G8" s="318">
        <f t="shared" si="2"/>
        <v>0</v>
      </c>
      <c r="H8" s="94"/>
      <c r="I8" s="367"/>
      <c r="J8" s="73"/>
      <c r="K8" s="181"/>
      <c r="L8" s="198"/>
      <c r="M8" s="51"/>
      <c r="N8" s="182"/>
      <c r="O8" s="16"/>
      <c r="P8" s="16"/>
      <c r="Q8" s="371" t="s">
        <v>496</v>
      </c>
      <c r="R8" s="371" t="s">
        <v>497</v>
      </c>
      <c r="S8" s="73"/>
      <c r="T8" s="73"/>
      <c r="U8" s="73"/>
      <c r="V8" s="73"/>
      <c r="W8" s="73"/>
      <c r="X8" s="73"/>
      <c r="Y8" s="73"/>
    </row>
    <row r="9" ht="15.75" customHeight="1">
      <c r="A9" s="109"/>
      <c r="B9" s="88"/>
      <c r="C9" s="88"/>
      <c r="D9" s="88">
        <f t="shared" si="1"/>
        <v>0</v>
      </c>
      <c r="E9" s="101"/>
      <c r="F9" s="73"/>
      <c r="G9" s="318">
        <f t="shared" si="2"/>
        <v>0</v>
      </c>
      <c r="H9" s="94"/>
      <c r="I9" s="367"/>
      <c r="J9" s="73"/>
      <c r="K9" s="185" t="s">
        <v>59</v>
      </c>
      <c r="L9" s="2"/>
      <c r="M9" s="3"/>
      <c r="N9" s="186">
        <f>44</f>
        <v>44</v>
      </c>
      <c r="O9" s="30">
        <f t="shared" ref="O9:O10" si="3">N9*1.3</f>
        <v>57.2</v>
      </c>
      <c r="P9" s="30">
        <v>60.0</v>
      </c>
      <c r="Q9" s="372">
        <f t="shared" ref="Q9:Q10" si="4">P9/N9</f>
        <v>1.363636364</v>
      </c>
      <c r="R9" s="30">
        <f t="shared" ref="R9:R10" si="5">N9*1.4</f>
        <v>61.6</v>
      </c>
      <c r="S9" s="73"/>
      <c r="T9" s="73"/>
      <c r="U9" s="73"/>
      <c r="V9" s="73"/>
      <c r="W9" s="73"/>
      <c r="X9" s="73"/>
      <c r="Y9" s="73"/>
    </row>
    <row r="10" ht="15.75" customHeight="1">
      <c r="A10" s="109"/>
      <c r="B10" s="88"/>
      <c r="C10" s="88"/>
      <c r="D10" s="88">
        <f t="shared" si="1"/>
        <v>0</v>
      </c>
      <c r="E10" s="101"/>
      <c r="F10" s="73"/>
      <c r="G10" s="318">
        <f t="shared" si="2"/>
        <v>0</v>
      </c>
      <c r="H10" s="94"/>
      <c r="I10" s="367"/>
      <c r="J10" s="73"/>
      <c r="K10" s="185" t="s">
        <v>490</v>
      </c>
      <c r="L10" s="2"/>
      <c r="M10" s="3"/>
      <c r="N10" s="186">
        <v>61.25</v>
      </c>
      <c r="O10" s="30">
        <f t="shared" si="3"/>
        <v>79.625</v>
      </c>
      <c r="P10" s="30">
        <v>70.0</v>
      </c>
      <c r="Q10" s="372">
        <f t="shared" si="4"/>
        <v>1.142857143</v>
      </c>
      <c r="R10" s="30">
        <f t="shared" si="5"/>
        <v>85.75</v>
      </c>
      <c r="S10" s="73"/>
      <c r="T10" s="73"/>
      <c r="U10" s="73"/>
      <c r="V10" s="73"/>
      <c r="W10" s="73"/>
      <c r="X10" s="73"/>
      <c r="Y10" s="73"/>
    </row>
    <row r="11" ht="15.75" customHeight="1">
      <c r="A11" s="368"/>
      <c r="B11" s="88"/>
      <c r="C11" s="88"/>
      <c r="D11" s="88">
        <f t="shared" si="1"/>
        <v>0</v>
      </c>
      <c r="E11" s="101"/>
      <c r="F11" s="73"/>
      <c r="G11" s="318">
        <f t="shared" si="2"/>
        <v>0</v>
      </c>
      <c r="H11" s="94"/>
      <c r="I11" s="367"/>
      <c r="J11" s="73"/>
      <c r="S11" s="73"/>
      <c r="T11" s="73"/>
      <c r="U11" s="73"/>
      <c r="V11" s="73"/>
      <c r="W11" s="73"/>
      <c r="X11" s="73"/>
      <c r="Y11" s="73"/>
    </row>
    <row r="12" ht="15.75" customHeight="1">
      <c r="A12" s="109"/>
      <c r="B12" s="88"/>
      <c r="C12" s="88"/>
      <c r="D12" s="88">
        <f t="shared" si="1"/>
        <v>0</v>
      </c>
      <c r="E12" s="101"/>
      <c r="F12" s="73"/>
      <c r="G12" s="318">
        <f t="shared" si="2"/>
        <v>0</v>
      </c>
      <c r="H12" s="94"/>
      <c r="I12" s="367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</row>
    <row r="13" ht="15.75" customHeight="1">
      <c r="A13" s="109"/>
      <c r="B13" s="88"/>
      <c r="C13" s="88"/>
      <c r="D13" s="88">
        <f t="shared" si="1"/>
        <v>0</v>
      </c>
      <c r="E13" s="101"/>
      <c r="F13" s="73"/>
      <c r="G13" s="318">
        <f t="shared" si="2"/>
        <v>0</v>
      </c>
      <c r="H13" s="94"/>
      <c r="I13" s="367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</row>
    <row r="14" ht="15.75" customHeight="1">
      <c r="A14" s="109"/>
      <c r="B14" s="88"/>
      <c r="C14" s="88"/>
      <c r="D14" s="88">
        <f t="shared" si="1"/>
        <v>0</v>
      </c>
      <c r="E14" s="101"/>
      <c r="F14" s="73"/>
      <c r="G14" s="318">
        <f t="shared" si="2"/>
        <v>0</v>
      </c>
      <c r="H14" s="94"/>
      <c r="I14" s="367"/>
      <c r="J14" s="73"/>
      <c r="K14" s="73"/>
      <c r="L14" s="73"/>
      <c r="M14" s="73"/>
      <c r="N14" s="73"/>
      <c r="O14" s="73"/>
      <c r="P14" s="73"/>
      <c r="S14" s="73"/>
      <c r="T14" s="73"/>
      <c r="U14" s="73"/>
      <c r="V14" s="73"/>
      <c r="W14" s="73"/>
      <c r="X14" s="73"/>
      <c r="Y14" s="73"/>
    </row>
    <row r="15" ht="15.75" customHeight="1">
      <c r="A15" s="109"/>
      <c r="B15" s="88"/>
      <c r="C15" s="88"/>
      <c r="D15" s="88">
        <f t="shared" si="1"/>
        <v>0</v>
      </c>
      <c r="E15" s="248"/>
      <c r="F15" s="73"/>
      <c r="G15" s="318">
        <f t="shared" si="2"/>
        <v>0</v>
      </c>
      <c r="H15" s="94"/>
      <c r="I15" s="367"/>
      <c r="J15" s="73"/>
      <c r="K15" s="73"/>
      <c r="L15" s="73"/>
      <c r="M15" s="73"/>
      <c r="N15" s="73"/>
      <c r="O15" s="73"/>
      <c r="P15" s="73"/>
      <c r="S15" s="73"/>
      <c r="T15" s="73"/>
      <c r="U15" s="73"/>
      <c r="V15" s="73"/>
      <c r="W15" s="73"/>
      <c r="X15" s="73"/>
      <c r="Y15" s="73"/>
    </row>
    <row r="16" ht="15.75" customHeight="1">
      <c r="A16" s="109"/>
      <c r="B16" s="88"/>
      <c r="C16" s="88"/>
      <c r="D16" s="88">
        <f t="shared" si="1"/>
        <v>0</v>
      </c>
      <c r="E16" s="101"/>
      <c r="F16" s="73"/>
      <c r="G16" s="318">
        <f t="shared" si="2"/>
        <v>0</v>
      </c>
      <c r="H16" s="94"/>
      <c r="I16" s="367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</row>
    <row r="17" ht="15.75" customHeight="1">
      <c r="A17" s="109"/>
      <c r="B17" s="88"/>
      <c r="C17" s="88"/>
      <c r="D17" s="88">
        <f t="shared" si="1"/>
        <v>0</v>
      </c>
      <c r="E17" s="248"/>
      <c r="F17" s="73"/>
      <c r="G17" s="318">
        <f t="shared" si="2"/>
        <v>0</v>
      </c>
      <c r="H17" s="94"/>
      <c r="I17" s="367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</row>
    <row r="18" ht="15.75" customHeight="1">
      <c r="A18" s="109"/>
      <c r="B18" s="88"/>
      <c r="C18" s="88"/>
      <c r="D18" s="88">
        <f t="shared" si="1"/>
        <v>0</v>
      </c>
      <c r="E18" s="248"/>
      <c r="F18" s="73"/>
      <c r="G18" s="318">
        <f t="shared" si="2"/>
        <v>0</v>
      </c>
      <c r="H18" s="94"/>
      <c r="I18" s="367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</row>
    <row r="19" ht="15.75" customHeight="1">
      <c r="A19" s="109"/>
      <c r="B19" s="88"/>
      <c r="C19" s="88"/>
      <c r="D19" s="88">
        <f t="shared" si="1"/>
        <v>0</v>
      </c>
      <c r="E19" s="257"/>
      <c r="F19" s="73"/>
      <c r="G19" s="318">
        <f t="shared" si="2"/>
        <v>0</v>
      </c>
      <c r="H19" s="94"/>
      <c r="I19" s="367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</row>
    <row r="20" ht="15.75" customHeight="1">
      <c r="A20" s="109"/>
      <c r="B20" s="88"/>
      <c r="C20" s="88"/>
      <c r="D20" s="88">
        <f t="shared" si="1"/>
        <v>0</v>
      </c>
      <c r="E20" s="257"/>
      <c r="F20" s="73"/>
      <c r="G20" s="318">
        <f t="shared" si="2"/>
        <v>0</v>
      </c>
      <c r="H20" s="94"/>
      <c r="I20" s="367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</row>
    <row r="21" ht="15.75" customHeight="1">
      <c r="A21" s="373"/>
      <c r="B21" s="88"/>
      <c r="C21" s="88"/>
      <c r="D21" s="88">
        <f t="shared" si="1"/>
        <v>0</v>
      </c>
      <c r="E21" s="101"/>
      <c r="F21" s="73"/>
      <c r="G21" s="318">
        <f t="shared" si="2"/>
        <v>0</v>
      </c>
      <c r="H21" s="94"/>
      <c r="I21" s="367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</row>
    <row r="22" ht="15.75" customHeight="1">
      <c r="A22" s="109"/>
      <c r="B22" s="88"/>
      <c r="C22" s="88"/>
      <c r="D22" s="88">
        <f t="shared" si="1"/>
        <v>0</v>
      </c>
      <c r="E22" s="101"/>
      <c r="F22" s="73"/>
      <c r="G22" s="318">
        <f t="shared" si="2"/>
        <v>0</v>
      </c>
      <c r="H22" s="94"/>
      <c r="I22" s="367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</row>
    <row r="23" ht="15.75" customHeight="1">
      <c r="A23" s="109"/>
      <c r="B23" s="88"/>
      <c r="C23" s="88"/>
      <c r="D23" s="88">
        <f t="shared" si="1"/>
        <v>0</v>
      </c>
      <c r="E23" s="101"/>
      <c r="F23" s="73"/>
      <c r="G23" s="318">
        <f t="shared" si="2"/>
        <v>0</v>
      </c>
      <c r="H23" s="94"/>
      <c r="I23" s="367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</row>
    <row r="24" ht="15.75" customHeight="1">
      <c r="A24" s="109"/>
      <c r="B24" s="88"/>
      <c r="C24" s="88"/>
      <c r="D24" s="88">
        <f t="shared" si="1"/>
        <v>0</v>
      </c>
      <c r="E24" s="257"/>
      <c r="F24" s="73"/>
      <c r="G24" s="318">
        <f t="shared" si="2"/>
        <v>0</v>
      </c>
      <c r="H24" s="94"/>
      <c r="I24" s="367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</row>
    <row r="25" ht="15.75" customHeight="1">
      <c r="A25" s="109"/>
      <c r="B25" s="88"/>
      <c r="C25" s="88"/>
      <c r="D25" s="88">
        <f t="shared" si="1"/>
        <v>0</v>
      </c>
      <c r="E25" s="101"/>
      <c r="F25" s="73"/>
      <c r="G25" s="318">
        <f t="shared" si="2"/>
        <v>0</v>
      </c>
      <c r="H25" s="94"/>
      <c r="I25" s="367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</row>
    <row r="26" ht="15.75" customHeight="1">
      <c r="A26" s="109"/>
      <c r="B26" s="88"/>
      <c r="C26" s="88"/>
      <c r="D26" s="88">
        <f t="shared" si="1"/>
        <v>0</v>
      </c>
      <c r="E26" s="101"/>
      <c r="F26" s="73"/>
      <c r="G26" s="318">
        <f t="shared" si="2"/>
        <v>0</v>
      </c>
      <c r="H26" s="94"/>
      <c r="I26" s="367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</row>
    <row r="27" ht="15.75" customHeight="1">
      <c r="A27" s="109"/>
      <c r="B27" s="88"/>
      <c r="C27" s="88"/>
      <c r="D27" s="88">
        <f t="shared" si="1"/>
        <v>0</v>
      </c>
      <c r="E27" s="101"/>
      <c r="F27" s="73"/>
      <c r="G27" s="318">
        <f t="shared" si="2"/>
        <v>0</v>
      </c>
      <c r="H27" s="94"/>
      <c r="I27" s="367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</row>
    <row r="28" ht="15.75" customHeight="1">
      <c r="A28" s="109"/>
      <c r="B28" s="88"/>
      <c r="C28" s="88"/>
      <c r="D28" s="88">
        <f t="shared" si="1"/>
        <v>0</v>
      </c>
      <c r="E28" s="101"/>
      <c r="F28" s="73"/>
      <c r="G28" s="318">
        <f t="shared" si="2"/>
        <v>0</v>
      </c>
      <c r="H28" s="94"/>
      <c r="I28" s="367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</row>
    <row r="29" ht="15.75" customHeight="1">
      <c r="A29" s="109"/>
      <c r="B29" s="88"/>
      <c r="C29" s="88"/>
      <c r="D29" s="88">
        <f t="shared" si="1"/>
        <v>0</v>
      </c>
      <c r="E29" s="101"/>
      <c r="F29" s="73"/>
      <c r="G29" s="318">
        <f t="shared" si="2"/>
        <v>0</v>
      </c>
      <c r="H29" s="94"/>
      <c r="I29" s="367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</row>
    <row r="30" ht="15.75" customHeight="1">
      <c r="A30" s="109"/>
      <c r="B30" s="88"/>
      <c r="C30" s="88"/>
      <c r="D30" s="88">
        <f t="shared" si="1"/>
        <v>0</v>
      </c>
      <c r="E30" s="101"/>
      <c r="F30" s="73"/>
      <c r="G30" s="318">
        <f t="shared" si="2"/>
        <v>0</v>
      </c>
      <c r="H30" s="94"/>
      <c r="I30" s="367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</row>
    <row r="31" ht="15.75" customHeight="1">
      <c r="A31" s="109"/>
      <c r="B31" s="88"/>
      <c r="C31" s="88"/>
      <c r="D31" s="88">
        <f t="shared" si="1"/>
        <v>0</v>
      </c>
      <c r="E31" s="101"/>
      <c r="F31" s="73"/>
      <c r="G31" s="318">
        <f t="shared" si="2"/>
        <v>0</v>
      </c>
      <c r="H31" s="94"/>
      <c r="I31" s="367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</row>
    <row r="32" ht="15.75" customHeight="1">
      <c r="A32" s="109"/>
      <c r="B32" s="88"/>
      <c r="C32" s="88"/>
      <c r="D32" s="88">
        <f t="shared" si="1"/>
        <v>0</v>
      </c>
      <c r="E32" s="101"/>
      <c r="F32" s="73"/>
      <c r="G32" s="318">
        <f t="shared" si="2"/>
        <v>0</v>
      </c>
      <c r="H32" s="94"/>
      <c r="I32" s="367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</row>
    <row r="33" ht="15.75" customHeight="1">
      <c r="A33" s="109"/>
      <c r="B33" s="88"/>
      <c r="C33" s="88"/>
      <c r="D33" s="88">
        <f t="shared" si="1"/>
        <v>0</v>
      </c>
      <c r="E33" s="101"/>
      <c r="F33" s="73"/>
      <c r="G33" s="318">
        <f t="shared" si="2"/>
        <v>0</v>
      </c>
      <c r="H33" s="94"/>
      <c r="I33" s="367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</row>
    <row r="34" ht="15.75" customHeight="1">
      <c r="A34" s="109"/>
      <c r="B34" s="88"/>
      <c r="C34" s="88"/>
      <c r="D34" s="88">
        <f t="shared" si="1"/>
        <v>0</v>
      </c>
      <c r="E34" s="101"/>
      <c r="F34" s="73"/>
      <c r="G34" s="318">
        <f t="shared" si="2"/>
        <v>0</v>
      </c>
      <c r="H34" s="94"/>
      <c r="I34" s="367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</row>
    <row r="35" ht="15.75" customHeight="1">
      <c r="A35" s="120"/>
      <c r="B35" s="120"/>
      <c r="C35" s="120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</row>
    <row r="36" ht="15.75" customHeight="1">
      <c r="A36" s="120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ht="15.75" customHeight="1">
      <c r="A37" s="120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</row>
    <row r="38" ht="15.75" customHeight="1">
      <c r="A38" s="120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</row>
    <row r="39" ht="15.75" customHeight="1">
      <c r="A39" s="120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</row>
    <row r="40" ht="15.75" customHeight="1">
      <c r="A40" s="120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</row>
    <row r="41" ht="15.75" customHeight="1">
      <c r="A41" s="120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</row>
    <row r="42" ht="15.75" customHeight="1">
      <c r="A42" s="120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</row>
    <row r="43" ht="15.75" customHeight="1">
      <c r="A43" s="120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  <row r="44" ht="15.75" customHeight="1">
      <c r="A44" s="120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</row>
    <row r="45" ht="15.75" customHeight="1">
      <c r="A45" s="120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</row>
    <row r="46" ht="15.75" customHeight="1">
      <c r="A46" s="120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</row>
    <row r="47" ht="15.75" customHeight="1">
      <c r="A47" s="120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</row>
    <row r="48" ht="15.75" customHeight="1">
      <c r="A48" s="120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</row>
    <row r="49" ht="15.75" customHeight="1">
      <c r="A49" s="120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  <row r="50" ht="15.75" customHeight="1">
      <c r="A50" s="120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</row>
    <row r="51" ht="15.75" customHeight="1">
      <c r="A51" s="120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</row>
    <row r="52" ht="15.75" customHeight="1">
      <c r="A52" s="120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</row>
    <row r="53" ht="15.75" customHeight="1">
      <c r="A53" s="120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</row>
    <row r="54" ht="15.75" customHeight="1">
      <c r="A54" s="120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</row>
    <row r="55" ht="15.75" customHeight="1">
      <c r="A55" s="120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</row>
    <row r="56" ht="15.75" customHeight="1">
      <c r="A56" s="120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</row>
    <row r="57" ht="15.75" customHeight="1">
      <c r="A57" s="120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</row>
    <row r="58" ht="15.75" customHeight="1">
      <c r="A58" s="120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</row>
    <row r="59" ht="15.75" customHeight="1">
      <c r="A59" s="120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</row>
    <row r="60" ht="15.75" customHeight="1">
      <c r="A60" s="120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</row>
    <row r="61" ht="15.75" customHeight="1">
      <c r="A61" s="120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</row>
    <row r="62" ht="15.75" customHeight="1">
      <c r="A62" s="120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ht="15.75" customHeight="1">
      <c r="A63" s="120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ht="15.75" customHeight="1">
      <c r="A64" s="120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ht="15.75" customHeight="1">
      <c r="A65" s="120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ht="15.75" customHeight="1">
      <c r="A66" s="120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</row>
    <row r="67" ht="15.75" customHeight="1">
      <c r="A67" s="120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</row>
    <row r="68" ht="15.75" customHeight="1">
      <c r="A68" s="120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</row>
    <row r="69" ht="15.75" customHeight="1">
      <c r="A69" s="120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</row>
    <row r="70" ht="15.75" customHeight="1">
      <c r="A70" s="120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</row>
    <row r="71" ht="15.75" customHeight="1">
      <c r="A71" s="120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</row>
    <row r="72" ht="15.75" customHeight="1">
      <c r="A72" s="120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</row>
    <row r="73" ht="15.75" customHeight="1">
      <c r="A73" s="120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</row>
    <row r="74" ht="15.75" customHeight="1">
      <c r="A74" s="120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</row>
    <row r="75" ht="15.75" customHeight="1">
      <c r="A75" s="120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</row>
    <row r="76" ht="15.75" customHeight="1">
      <c r="A76" s="120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</row>
    <row r="77" ht="15.75" customHeight="1">
      <c r="A77" s="120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</row>
    <row r="78" ht="15.75" customHeight="1">
      <c r="A78" s="120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</row>
    <row r="79" ht="15.75" customHeight="1">
      <c r="A79" s="120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</row>
    <row r="80" ht="15.75" customHeight="1">
      <c r="A80" s="120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</row>
    <row r="221" ht="15.75" customHeight="1">
      <c r="A221" s="120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</row>
    <row r="222" ht="15.75" customHeight="1">
      <c r="A222" s="120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</row>
    <row r="223" ht="15.75" customHeight="1">
      <c r="A223" s="120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</row>
    <row r="224" ht="15.75" customHeight="1">
      <c r="A224" s="120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</row>
    <row r="225" ht="15.75" customHeight="1">
      <c r="A225" s="120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</row>
    <row r="226" ht="15.75" customHeight="1">
      <c r="A226" s="120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</row>
    <row r="227" ht="15.75" customHeight="1">
      <c r="A227" s="120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</row>
    <row r="228" ht="15.75" customHeight="1">
      <c r="A228" s="120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</row>
    <row r="229" ht="15.75" customHeight="1">
      <c r="A229" s="120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</row>
    <row r="230" ht="15.75" customHeight="1">
      <c r="A230" s="120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</row>
    <row r="231" ht="15.75" customHeight="1">
      <c r="A231" s="120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</row>
    <row r="232" ht="15.75" customHeight="1">
      <c r="A232" s="120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</row>
    <row r="233" ht="15.75" customHeight="1">
      <c r="A233" s="120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</row>
    <row r="234" ht="15.75" customHeight="1">
      <c r="A234" s="120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7:M8"/>
    <mergeCell ref="K9:M9"/>
    <mergeCell ref="K10:M10"/>
    <mergeCell ref="A1:A2"/>
    <mergeCell ref="B1:C1"/>
    <mergeCell ref="D1:E1"/>
    <mergeCell ref="G1:I1"/>
    <mergeCell ref="N7:N8"/>
    <mergeCell ref="O7:O8"/>
    <mergeCell ref="P7:P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498</v>
      </c>
    </row>
    <row r="2" ht="15.75" customHeight="1"/>
    <row r="3" ht="15.75" customHeight="1">
      <c r="B3" s="45" t="s">
        <v>94</v>
      </c>
      <c r="C3" s="178"/>
      <c r="D3" s="320" t="s">
        <v>95</v>
      </c>
      <c r="E3" s="320" t="s">
        <v>96</v>
      </c>
      <c r="F3" s="320" t="s">
        <v>98</v>
      </c>
      <c r="G3" s="320" t="s">
        <v>98</v>
      </c>
      <c r="H3" s="314" t="s">
        <v>365</v>
      </c>
      <c r="J3" s="8" t="s">
        <v>499</v>
      </c>
      <c r="N3" s="374">
        <v>0.0</v>
      </c>
      <c r="O3" s="375"/>
      <c r="P3" s="376" t="s">
        <v>500</v>
      </c>
    </row>
    <row r="4" ht="15.75" customHeight="1">
      <c r="B4" s="181"/>
      <c r="C4" s="51"/>
      <c r="D4" s="16"/>
      <c r="E4" s="16"/>
      <c r="F4" s="16"/>
      <c r="G4" s="16"/>
      <c r="H4" s="199"/>
      <c r="N4" s="374">
        <v>2.0</v>
      </c>
      <c r="O4" s="375"/>
      <c r="P4" s="376" t="s">
        <v>501</v>
      </c>
    </row>
    <row r="5" ht="15.75" customHeight="1">
      <c r="B5" s="377" t="s">
        <v>500</v>
      </c>
      <c r="C5" s="3"/>
      <c r="D5" s="30">
        <f>24*20</f>
        <v>480</v>
      </c>
      <c r="E5" s="291">
        <v>20.0</v>
      </c>
      <c r="F5" s="315">
        <f t="shared" ref="F5:F12" si="1">E5*1.3</f>
        <v>26</v>
      </c>
      <c r="G5" s="315">
        <v>25.0</v>
      </c>
      <c r="H5" s="323" t="s">
        <v>502</v>
      </c>
      <c r="N5" s="374">
        <v>5.0</v>
      </c>
      <c r="O5" s="375"/>
      <c r="P5" s="376" t="s">
        <v>503</v>
      </c>
    </row>
    <row r="6" ht="15.75" customHeight="1">
      <c r="B6" s="185" t="s">
        <v>501</v>
      </c>
      <c r="C6" s="3"/>
      <c r="D6" s="30">
        <v>63.2</v>
      </c>
      <c r="E6" s="30">
        <v>63.2</v>
      </c>
      <c r="F6" s="315">
        <f t="shared" si="1"/>
        <v>82.16</v>
      </c>
      <c r="G6" s="315">
        <v>82.0</v>
      </c>
      <c r="H6" s="323">
        <v>79.0</v>
      </c>
      <c r="N6" s="374">
        <v>3.0</v>
      </c>
      <c r="O6" s="375"/>
      <c r="P6" s="376" t="s">
        <v>504</v>
      </c>
    </row>
    <row r="7" ht="15.75" customHeight="1">
      <c r="B7" s="185" t="s">
        <v>503</v>
      </c>
      <c r="C7" s="3"/>
      <c r="D7" s="30">
        <v>63.2</v>
      </c>
      <c r="E7" s="30">
        <v>63.2</v>
      </c>
      <c r="F7" s="315">
        <f t="shared" si="1"/>
        <v>82.16</v>
      </c>
      <c r="G7" s="315">
        <v>82.0</v>
      </c>
      <c r="H7" s="323">
        <v>79.0</v>
      </c>
      <c r="N7" s="374">
        <v>2.0</v>
      </c>
      <c r="O7" s="375"/>
      <c r="P7" s="376" t="s">
        <v>505</v>
      </c>
    </row>
    <row r="8" ht="15.75" customHeight="1">
      <c r="B8" s="185" t="s">
        <v>504</v>
      </c>
      <c r="C8" s="3"/>
      <c r="D8" s="30">
        <v>63.2</v>
      </c>
      <c r="E8" s="30">
        <v>63.2</v>
      </c>
      <c r="F8" s="315">
        <f t="shared" si="1"/>
        <v>82.16</v>
      </c>
      <c r="G8" s="315">
        <v>82.0</v>
      </c>
      <c r="H8" s="323">
        <v>79.0</v>
      </c>
      <c r="N8" s="374">
        <v>1.0</v>
      </c>
      <c r="O8" s="375"/>
      <c r="P8" s="376" t="s">
        <v>506</v>
      </c>
    </row>
    <row r="9" ht="15.75" customHeight="1">
      <c r="B9" s="185" t="s">
        <v>505</v>
      </c>
      <c r="C9" s="3"/>
      <c r="D9" s="30">
        <v>63.2</v>
      </c>
      <c r="E9" s="30">
        <v>63.2</v>
      </c>
      <c r="F9" s="315">
        <f t="shared" si="1"/>
        <v>82.16</v>
      </c>
      <c r="G9" s="315">
        <v>82.0</v>
      </c>
      <c r="H9" s="323">
        <v>79.0</v>
      </c>
      <c r="N9" s="374">
        <v>1.0</v>
      </c>
      <c r="O9" s="375"/>
      <c r="P9" s="376" t="s">
        <v>507</v>
      </c>
    </row>
    <row r="10" ht="15.75" customHeight="1">
      <c r="B10" s="185" t="s">
        <v>506</v>
      </c>
      <c r="C10" s="3"/>
      <c r="D10" s="30">
        <f t="shared" ref="D10:D12" si="2">16*32</f>
        <v>512</v>
      </c>
      <c r="E10" s="30">
        <v>32.0</v>
      </c>
      <c r="F10" s="315">
        <f t="shared" si="1"/>
        <v>41.6</v>
      </c>
      <c r="G10" s="315">
        <v>42.0</v>
      </c>
      <c r="H10" s="323" t="s">
        <v>502</v>
      </c>
      <c r="N10" s="374">
        <v>0.0</v>
      </c>
      <c r="O10" s="375"/>
      <c r="P10" s="376" t="s">
        <v>508</v>
      </c>
    </row>
    <row r="11" ht="15.75" customHeight="1">
      <c r="B11" s="185" t="s">
        <v>507</v>
      </c>
      <c r="C11" s="3"/>
      <c r="D11" s="30">
        <f t="shared" si="2"/>
        <v>512</v>
      </c>
      <c r="E11" s="30">
        <v>32.0</v>
      </c>
      <c r="F11" s="315">
        <f t="shared" si="1"/>
        <v>41.6</v>
      </c>
      <c r="G11" s="315">
        <v>42.0</v>
      </c>
      <c r="H11" s="323" t="s">
        <v>502</v>
      </c>
    </row>
    <row r="12" ht="15.75" customHeight="1">
      <c r="B12" s="185" t="s">
        <v>508</v>
      </c>
      <c r="C12" s="3"/>
      <c r="D12" s="30">
        <f t="shared" si="2"/>
        <v>512</v>
      </c>
      <c r="E12" s="30">
        <v>32.0</v>
      </c>
      <c r="F12" s="315">
        <f t="shared" si="1"/>
        <v>41.6</v>
      </c>
      <c r="G12" s="315">
        <v>42.0</v>
      </c>
      <c r="H12" s="323" t="s">
        <v>502</v>
      </c>
    </row>
    <row r="13" ht="15.75" customHeight="1">
      <c r="B13" s="185"/>
      <c r="C13" s="3"/>
      <c r="D13" s="30"/>
      <c r="E13" s="30"/>
      <c r="F13" s="315"/>
      <c r="G13" s="315"/>
      <c r="H13" s="323"/>
    </row>
    <row r="14" ht="15.75" customHeight="1">
      <c r="B14" s="185"/>
      <c r="C14" s="3"/>
      <c r="D14" s="30"/>
      <c r="E14" s="30"/>
      <c r="F14" s="315"/>
      <c r="G14" s="315"/>
      <c r="H14" s="323"/>
    </row>
    <row r="15" ht="15.75" customHeight="1">
      <c r="B15" s="185"/>
      <c r="C15" s="3"/>
      <c r="D15" s="30"/>
      <c r="E15" s="30"/>
      <c r="F15" s="315"/>
      <c r="G15" s="315"/>
      <c r="H15" s="323"/>
    </row>
    <row r="16" ht="15.75" customHeight="1">
      <c r="B16" s="185"/>
      <c r="C16" s="3"/>
      <c r="D16" s="30"/>
      <c r="E16" s="30"/>
      <c r="F16" s="315"/>
      <c r="G16" s="315"/>
      <c r="H16" s="323"/>
    </row>
    <row r="17" ht="15.75" customHeight="1">
      <c r="B17" s="327"/>
      <c r="C17" s="58"/>
      <c r="D17" s="329"/>
      <c r="E17" s="329"/>
      <c r="F17" s="330"/>
      <c r="G17" s="330"/>
      <c r="H17" s="331"/>
    </row>
    <row r="18" ht="15.75" customHeight="1"/>
    <row r="19" ht="15.75" customHeight="1"/>
    <row r="20" ht="15.75" customHeight="1">
      <c r="A20" s="309" t="s">
        <v>119</v>
      </c>
      <c r="B20" s="68" t="s">
        <v>120</v>
      </c>
      <c r="C20" s="69"/>
      <c r="D20" s="69"/>
      <c r="E20" s="69"/>
      <c r="F20" s="69"/>
      <c r="G20" s="69"/>
      <c r="H20" s="69"/>
      <c r="I20" s="69"/>
      <c r="J20" s="70" t="s">
        <v>121</v>
      </c>
      <c r="K20" s="71"/>
    </row>
    <row r="21" ht="15.75" customHeight="1">
      <c r="A21" s="49"/>
      <c r="B21" s="158" t="str">
        <f>B5</f>
        <v>Vaquitas (cuadrado dulce de leche) 24un</v>
      </c>
      <c r="C21" s="158" t="str">
        <f>B6</f>
        <v>Galletas de limon bañadas con chocolate</v>
      </c>
      <c r="D21" s="158" t="str">
        <f>B7</f>
        <v>Galletas de coco bañadas con chocolate</v>
      </c>
      <c r="E21" s="158" t="str">
        <f>B8</f>
        <v>Galletas de menta bañadas con chocolate</v>
      </c>
      <c r="F21" s="158" t="str">
        <f>B9</f>
        <v>Galletas de cacao bañadas con chocolate</v>
      </c>
      <c r="G21" s="158" t="str">
        <f>B10</f>
        <v>Natural Bars Almendras 16un</v>
      </c>
      <c r="H21" s="258" t="str">
        <f>B11</f>
        <v>Natural Bars Arandanos 16un</v>
      </c>
      <c r="I21" s="258" t="str">
        <f>B12</f>
        <v>Natural Bars Chocolate 16un</v>
      </c>
      <c r="J21" s="258" t="s">
        <v>127</v>
      </c>
      <c r="K21" s="258" t="s">
        <v>128</v>
      </c>
    </row>
    <row r="22" ht="15.75" customHeight="1">
      <c r="A22" s="355">
        <v>45028.0</v>
      </c>
      <c r="B22" s="88">
        <v>2.0</v>
      </c>
      <c r="C22" s="88">
        <v>5.0</v>
      </c>
      <c r="D22" s="88">
        <v>5.0</v>
      </c>
      <c r="E22" s="88">
        <v>5.0</v>
      </c>
      <c r="F22" s="88">
        <v>5.0</v>
      </c>
      <c r="G22" s="88"/>
      <c r="H22" s="88"/>
      <c r="I22" s="101"/>
      <c r="J22" s="101">
        <f t="shared" ref="J22:J33" si="3">(B22*$D$5)+(C22*$D$6)+(D22*$D$7)+(E22*D$8)+(F22*D$9)+(G22*$D$10)+(H22*$D$11)+(I22*$D$12)</f>
        <v>2224</v>
      </c>
      <c r="K22" s="101"/>
    </row>
    <row r="23" ht="15.75" customHeight="1">
      <c r="A23" s="206"/>
      <c r="B23" s="88"/>
      <c r="C23" s="88"/>
      <c r="D23" s="88"/>
      <c r="E23" s="88"/>
      <c r="F23" s="88"/>
      <c r="G23" s="88"/>
      <c r="H23" s="88"/>
      <c r="I23" s="101"/>
      <c r="J23" s="101">
        <f t="shared" si="3"/>
        <v>0</v>
      </c>
      <c r="K23" s="101"/>
    </row>
    <row r="24" ht="15.75" customHeight="1">
      <c r="A24" s="206"/>
      <c r="B24" s="88"/>
      <c r="C24" s="88"/>
      <c r="D24" s="88"/>
      <c r="E24" s="88"/>
      <c r="F24" s="88"/>
      <c r="G24" s="88"/>
      <c r="H24" s="88"/>
      <c r="I24" s="101"/>
      <c r="J24" s="101">
        <f t="shared" si="3"/>
        <v>0</v>
      </c>
      <c r="K24" s="101"/>
    </row>
    <row r="25" ht="15.75" customHeight="1">
      <c r="A25" s="206"/>
      <c r="B25" s="88"/>
      <c r="C25" s="88"/>
      <c r="D25" s="88"/>
      <c r="E25" s="88"/>
      <c r="F25" s="88"/>
      <c r="G25" s="88"/>
      <c r="H25" s="88"/>
      <c r="I25" s="101"/>
      <c r="J25" s="101">
        <f t="shared" si="3"/>
        <v>0</v>
      </c>
      <c r="K25" s="101"/>
    </row>
    <row r="26" ht="15.75" customHeight="1">
      <c r="A26" s="206"/>
      <c r="B26" s="88"/>
      <c r="C26" s="88"/>
      <c r="D26" s="88"/>
      <c r="E26" s="88"/>
      <c r="F26" s="88"/>
      <c r="G26" s="88"/>
      <c r="H26" s="88"/>
      <c r="I26" s="101"/>
      <c r="J26" s="101">
        <f t="shared" si="3"/>
        <v>0</v>
      </c>
      <c r="K26" s="101"/>
    </row>
    <row r="27" ht="15.75" customHeight="1">
      <c r="A27" s="206"/>
      <c r="B27" s="88"/>
      <c r="C27" s="88"/>
      <c r="D27" s="88"/>
      <c r="E27" s="88"/>
      <c r="F27" s="88"/>
      <c r="G27" s="88"/>
      <c r="H27" s="88"/>
      <c r="I27" s="101"/>
      <c r="J27" s="101">
        <f t="shared" si="3"/>
        <v>0</v>
      </c>
      <c r="K27" s="101"/>
    </row>
    <row r="28" ht="15.75" customHeight="1">
      <c r="A28" s="206"/>
      <c r="B28" s="88"/>
      <c r="C28" s="88"/>
      <c r="D28" s="88"/>
      <c r="E28" s="88"/>
      <c r="F28" s="88"/>
      <c r="G28" s="88"/>
      <c r="H28" s="88"/>
      <c r="I28" s="101"/>
      <c r="J28" s="101">
        <f t="shared" si="3"/>
        <v>0</v>
      </c>
      <c r="K28" s="101"/>
    </row>
    <row r="29" ht="15.75" customHeight="1">
      <c r="A29" s="206"/>
      <c r="B29" s="88"/>
      <c r="C29" s="88"/>
      <c r="D29" s="88"/>
      <c r="E29" s="88"/>
      <c r="F29" s="88"/>
      <c r="G29" s="88"/>
      <c r="H29" s="88"/>
      <c r="I29" s="101"/>
      <c r="J29" s="101">
        <f t="shared" si="3"/>
        <v>0</v>
      </c>
      <c r="K29" s="101"/>
    </row>
    <row r="30" ht="15.75" customHeight="1">
      <c r="A30" s="206"/>
      <c r="B30" s="88"/>
      <c r="C30" s="88"/>
      <c r="D30" s="88"/>
      <c r="E30" s="88"/>
      <c r="F30" s="88"/>
      <c r="G30" s="88"/>
      <c r="H30" s="88"/>
      <c r="I30" s="101"/>
      <c r="J30" s="101">
        <f t="shared" si="3"/>
        <v>0</v>
      </c>
      <c r="K30" s="101"/>
    </row>
    <row r="31" ht="15.75" customHeight="1">
      <c r="A31" s="206"/>
      <c r="B31" s="88"/>
      <c r="C31" s="88"/>
      <c r="D31" s="88"/>
      <c r="E31" s="88"/>
      <c r="F31" s="88"/>
      <c r="G31" s="88"/>
      <c r="H31" s="88"/>
      <c r="I31" s="101"/>
      <c r="J31" s="101">
        <f t="shared" si="3"/>
        <v>0</v>
      </c>
      <c r="K31" s="101"/>
    </row>
    <row r="32" ht="15.75" customHeight="1">
      <c r="A32" s="206"/>
      <c r="B32" s="88"/>
      <c r="C32" s="88"/>
      <c r="D32" s="88"/>
      <c r="E32" s="88"/>
      <c r="F32" s="88"/>
      <c r="G32" s="88"/>
      <c r="H32" s="88"/>
      <c r="I32" s="101"/>
      <c r="J32" s="101">
        <f t="shared" si="3"/>
        <v>0</v>
      </c>
      <c r="K32" s="101"/>
    </row>
    <row r="33" ht="15.75" customHeight="1">
      <c r="A33" s="206"/>
      <c r="B33" s="88"/>
      <c r="C33" s="88"/>
      <c r="D33" s="88"/>
      <c r="E33" s="88"/>
      <c r="F33" s="88"/>
      <c r="G33" s="88"/>
      <c r="H33" s="88"/>
      <c r="I33" s="101"/>
      <c r="J33" s="101">
        <f t="shared" si="3"/>
        <v>0</v>
      </c>
      <c r="K33" s="10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3:C4"/>
    <mergeCell ref="D3:D4"/>
    <mergeCell ref="E3:E4"/>
    <mergeCell ref="F3:F4"/>
    <mergeCell ref="G3:G4"/>
    <mergeCell ref="H3:H4"/>
    <mergeCell ref="B5:C5"/>
    <mergeCell ref="B13:C13"/>
    <mergeCell ref="B14:C14"/>
    <mergeCell ref="B15:C15"/>
    <mergeCell ref="B16:C16"/>
    <mergeCell ref="B17:C17"/>
    <mergeCell ref="A20:A21"/>
    <mergeCell ref="B20:I20"/>
    <mergeCell ref="J20:K20"/>
    <mergeCell ref="B6:C6"/>
    <mergeCell ref="B7:C7"/>
    <mergeCell ref="B8:C8"/>
    <mergeCell ref="B9:C9"/>
    <mergeCell ref="B10:C10"/>
    <mergeCell ref="B11:C11"/>
    <mergeCell ref="B12:C1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6" width="12.63"/>
    <col customWidth="1" min="9" max="9" width="16.13"/>
  </cols>
  <sheetData>
    <row r="1" ht="15.75" customHeight="1">
      <c r="A1" s="120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 ht="15.75" customHeight="1">
      <c r="A2" s="378" t="s">
        <v>221</v>
      </c>
      <c r="B2" s="175" t="s">
        <v>509</v>
      </c>
      <c r="D2" s="73"/>
      <c r="E2" s="73"/>
      <c r="F2" s="73"/>
      <c r="G2" s="73"/>
      <c r="H2" s="73" t="s">
        <v>510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</row>
    <row r="3" ht="15.75" customHeight="1">
      <c r="A3" s="120"/>
      <c r="B3" s="73"/>
      <c r="D3" s="73"/>
      <c r="E3" s="232" t="s">
        <v>280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</row>
    <row r="4" ht="15.75" customHeight="1">
      <c r="A4" s="120"/>
      <c r="B4" s="73"/>
      <c r="C4" s="73"/>
      <c r="D4" s="176" t="s">
        <v>511</v>
      </c>
      <c r="E4" s="235"/>
      <c r="F4" s="176" t="s">
        <v>511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</row>
    <row r="5" ht="15.75" customHeight="1">
      <c r="A5" s="120"/>
      <c r="B5" s="177" t="s">
        <v>94</v>
      </c>
      <c r="C5" s="178"/>
      <c r="D5" s="179" t="s">
        <v>95</v>
      </c>
      <c r="E5" s="313" t="s">
        <v>96</v>
      </c>
      <c r="F5" s="313" t="s">
        <v>98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</row>
    <row r="6" ht="15.75" customHeight="1">
      <c r="A6" s="120"/>
      <c r="B6" s="181"/>
      <c r="C6" s="51"/>
      <c r="D6" s="182"/>
      <c r="E6" s="16"/>
      <c r="F6" s="16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</row>
    <row r="7" ht="15.75" customHeight="1">
      <c r="A7" s="120"/>
      <c r="B7" s="185" t="s">
        <v>512</v>
      </c>
      <c r="C7" s="3"/>
      <c r="D7" s="184">
        <v>580.0</v>
      </c>
      <c r="E7" s="291">
        <f t="shared" ref="E7:E8" si="1">D7/12</f>
        <v>48.33333333</v>
      </c>
      <c r="F7" s="315">
        <f t="shared" ref="F7:F10" si="2">E7*1.3</f>
        <v>62.83333333</v>
      </c>
      <c r="G7" s="73">
        <v>60.0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</row>
    <row r="8" ht="15.75" customHeight="1">
      <c r="A8" s="120"/>
      <c r="B8" s="185" t="s">
        <v>513</v>
      </c>
      <c r="C8" s="3"/>
      <c r="D8" s="186">
        <v>450.0</v>
      </c>
      <c r="E8" s="291">
        <f t="shared" si="1"/>
        <v>37.5</v>
      </c>
      <c r="F8" s="315">
        <f t="shared" si="2"/>
        <v>48.75</v>
      </c>
      <c r="G8" s="73">
        <v>50.0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</row>
    <row r="9" ht="15.75" customHeight="1">
      <c r="A9" s="120"/>
      <c r="B9" s="185" t="s">
        <v>337</v>
      </c>
      <c r="C9" s="3"/>
      <c r="D9" s="186">
        <v>225.0</v>
      </c>
      <c r="E9" s="291">
        <f t="shared" ref="E9:E10" si="3">D9/6</f>
        <v>37.5</v>
      </c>
      <c r="F9" s="315">
        <f t="shared" si="2"/>
        <v>48.75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</row>
    <row r="10" ht="15.75" customHeight="1">
      <c r="A10" s="120"/>
      <c r="B10" s="185" t="s">
        <v>338</v>
      </c>
      <c r="C10" s="3"/>
      <c r="D10" s="186">
        <v>259.62</v>
      </c>
      <c r="E10" s="291">
        <f t="shared" si="3"/>
        <v>43.27</v>
      </c>
      <c r="F10" s="315">
        <f t="shared" si="2"/>
        <v>56.251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</row>
    <row r="11" ht="15.75" customHeight="1">
      <c r="A11" s="120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</row>
    <row r="12" ht="15.75" customHeight="1">
      <c r="A12" s="379" t="s">
        <v>119</v>
      </c>
      <c r="B12" s="68" t="s">
        <v>120</v>
      </c>
      <c r="C12" s="69"/>
      <c r="D12" s="69"/>
      <c r="E12" s="69"/>
      <c r="F12" s="158"/>
      <c r="G12" s="70" t="s">
        <v>121</v>
      </c>
      <c r="H12" s="71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</row>
    <row r="13" ht="15.75" customHeight="1">
      <c r="A13" s="379" t="s">
        <v>119</v>
      </c>
      <c r="B13" s="158" t="str">
        <f>B8</f>
        <v>Funda x12 500ml (COLA, SEVEN UP)</v>
      </c>
      <c r="C13" s="158" t="str">
        <f>B7</f>
        <v>Funda x12 500ml (POMELO, TÓNICA)</v>
      </c>
      <c r="D13" s="158" t="str">
        <f>B9</f>
        <v>LATAS GUARANA</v>
      </c>
      <c r="E13" s="158"/>
      <c r="F13" s="158"/>
      <c r="G13" s="258" t="s">
        <v>127</v>
      </c>
      <c r="H13" s="258" t="s">
        <v>128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</row>
    <row r="14" ht="15.75" customHeight="1">
      <c r="A14" s="380" t="s">
        <v>514</v>
      </c>
      <c r="B14" s="69"/>
      <c r="C14" s="69"/>
      <c r="D14" s="69"/>
      <c r="E14" s="69"/>
      <c r="F14" s="69"/>
      <c r="G14" s="69"/>
      <c r="H14" s="71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</row>
    <row r="15" ht="15.75" customHeight="1">
      <c r="A15" s="381">
        <v>44964.0</v>
      </c>
      <c r="B15" s="382">
        <v>2.0</v>
      </c>
      <c r="C15" s="383"/>
      <c r="D15" s="383"/>
      <c r="E15" s="383"/>
      <c r="F15" s="383"/>
      <c r="G15" s="88">
        <f t="shared" ref="G15:G17" si="4">B15*$D$8+C15*$D$9</f>
        <v>900</v>
      </c>
      <c r="H15" s="101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</row>
    <row r="16" ht="15.75" customHeight="1">
      <c r="A16" s="270">
        <v>45009.0</v>
      </c>
      <c r="B16" s="101">
        <v>5.0</v>
      </c>
      <c r="C16" s="101"/>
      <c r="D16" s="101"/>
      <c r="E16" s="101"/>
      <c r="F16" s="101"/>
      <c r="G16" s="88">
        <f t="shared" si="4"/>
        <v>2250</v>
      </c>
      <c r="H16" s="101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</row>
    <row r="17" ht="15.75" customHeight="1">
      <c r="A17" s="270">
        <v>45027.0</v>
      </c>
      <c r="B17" s="101">
        <v>11.0</v>
      </c>
      <c r="C17" s="101"/>
      <c r="D17" s="101"/>
      <c r="E17" s="101"/>
      <c r="F17" s="101"/>
      <c r="G17" s="88">
        <f t="shared" si="4"/>
        <v>4950</v>
      </c>
      <c r="H17" s="101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</row>
    <row r="18" ht="15.75" customHeight="1">
      <c r="A18" s="236">
        <v>45037.0</v>
      </c>
      <c r="B18" s="101">
        <v>1.0</v>
      </c>
      <c r="C18" s="101">
        <v>2.0</v>
      </c>
      <c r="D18" s="101">
        <v>2.0</v>
      </c>
      <c r="E18" s="101"/>
      <c r="F18" s="101"/>
      <c r="G18" s="88">
        <f>B18*$D$8+C18*D7+D18*D9</f>
        <v>2060</v>
      </c>
      <c r="H18" s="101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ht="15.75" customHeight="1">
      <c r="A19" s="270">
        <v>45058.0</v>
      </c>
      <c r="B19" s="101">
        <v>9.0</v>
      </c>
      <c r="C19" s="101">
        <v>7.0</v>
      </c>
      <c r="D19" s="101">
        <v>2.0</v>
      </c>
      <c r="E19" s="101"/>
      <c r="F19" s="101"/>
      <c r="G19" s="88">
        <f t="shared" ref="G19:G32" si="5">B19*$D$8+C19*$D$8+D19*$D$10</f>
        <v>7719.24</v>
      </c>
      <c r="H19" s="101" t="s">
        <v>515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</row>
    <row r="20" ht="15.75" customHeight="1">
      <c r="A20" s="270">
        <v>45065.0</v>
      </c>
      <c r="B20" s="101">
        <v>4.0</v>
      </c>
      <c r="C20" s="101">
        <v>3.0</v>
      </c>
      <c r="D20" s="101">
        <v>2.0</v>
      </c>
      <c r="E20" s="101"/>
      <c r="F20" s="101"/>
      <c r="G20" s="88">
        <f t="shared" si="5"/>
        <v>3669.24</v>
      </c>
      <c r="H20" s="101" t="s">
        <v>516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</row>
    <row r="21" ht="15.75" customHeight="1">
      <c r="A21" s="159">
        <v>45086.0</v>
      </c>
      <c r="B21" s="101">
        <v>6.0</v>
      </c>
      <c r="C21" s="101">
        <v>5.0</v>
      </c>
      <c r="D21" s="101"/>
      <c r="E21" s="101"/>
      <c r="F21" s="101"/>
      <c r="G21" s="88">
        <f t="shared" si="5"/>
        <v>4950</v>
      </c>
      <c r="H21" s="101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</row>
    <row r="22" ht="15.75" customHeight="1">
      <c r="A22" s="159"/>
      <c r="B22" s="101"/>
      <c r="C22" s="101"/>
      <c r="D22" s="101"/>
      <c r="E22" s="101"/>
      <c r="F22" s="101"/>
      <c r="G22" s="88">
        <f t="shared" si="5"/>
        <v>0</v>
      </c>
      <c r="H22" s="101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</row>
    <row r="23" ht="15.75" customHeight="1">
      <c r="A23" s="159"/>
      <c r="B23" s="101"/>
      <c r="C23" s="101"/>
      <c r="D23" s="101"/>
      <c r="E23" s="101"/>
      <c r="F23" s="101"/>
      <c r="G23" s="88">
        <f t="shared" si="5"/>
        <v>0</v>
      </c>
      <c r="H23" s="101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 ht="15.75" customHeight="1">
      <c r="A24" s="159"/>
      <c r="B24" s="101"/>
      <c r="C24" s="101"/>
      <c r="D24" s="101"/>
      <c r="E24" s="101"/>
      <c r="F24" s="101"/>
      <c r="G24" s="88">
        <f t="shared" si="5"/>
        <v>0</v>
      </c>
      <c r="H24" s="101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</row>
    <row r="25" ht="15.75" customHeight="1">
      <c r="A25" s="159"/>
      <c r="B25" s="101"/>
      <c r="C25" s="101"/>
      <c r="D25" s="101"/>
      <c r="E25" s="101"/>
      <c r="F25" s="101"/>
      <c r="G25" s="88">
        <f t="shared" si="5"/>
        <v>0</v>
      </c>
      <c r="H25" s="101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</row>
    <row r="26" ht="15.75" customHeight="1">
      <c r="A26" s="159"/>
      <c r="B26" s="101"/>
      <c r="C26" s="101"/>
      <c r="D26" s="101"/>
      <c r="E26" s="101"/>
      <c r="F26" s="101"/>
      <c r="G26" s="88">
        <f t="shared" si="5"/>
        <v>0</v>
      </c>
      <c r="H26" s="101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ht="15.75" customHeight="1">
      <c r="A27" s="159"/>
      <c r="B27" s="101"/>
      <c r="C27" s="101"/>
      <c r="D27" s="101"/>
      <c r="E27" s="101"/>
      <c r="F27" s="101"/>
      <c r="G27" s="88">
        <f t="shared" si="5"/>
        <v>0</v>
      </c>
      <c r="H27" s="101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ht="15.75" customHeight="1">
      <c r="A28" s="159"/>
      <c r="B28" s="101"/>
      <c r="C28" s="101"/>
      <c r="D28" s="101"/>
      <c r="E28" s="101"/>
      <c r="F28" s="101"/>
      <c r="G28" s="88">
        <f t="shared" si="5"/>
        <v>0</v>
      </c>
      <c r="H28" s="101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ht="15.75" customHeight="1">
      <c r="A29" s="159"/>
      <c r="B29" s="101"/>
      <c r="C29" s="101"/>
      <c r="D29" s="101"/>
      <c r="E29" s="101"/>
      <c r="F29" s="101"/>
      <c r="G29" s="88">
        <f t="shared" si="5"/>
        <v>0</v>
      </c>
      <c r="H29" s="101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</row>
    <row r="30" ht="15.75" customHeight="1">
      <c r="A30" s="159"/>
      <c r="B30" s="101"/>
      <c r="C30" s="101"/>
      <c r="D30" s="101"/>
      <c r="E30" s="101"/>
      <c r="F30" s="101"/>
      <c r="G30" s="88">
        <f t="shared" si="5"/>
        <v>0</v>
      </c>
      <c r="H30" s="101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  <row r="31" ht="15.75" customHeight="1">
      <c r="A31" s="159"/>
      <c r="B31" s="101"/>
      <c r="C31" s="101"/>
      <c r="D31" s="101"/>
      <c r="E31" s="101"/>
      <c r="F31" s="101"/>
      <c r="G31" s="88">
        <f t="shared" si="5"/>
        <v>0</v>
      </c>
      <c r="H31" s="101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</row>
    <row r="32" ht="15.75" customHeight="1">
      <c r="A32" s="159"/>
      <c r="B32" s="101"/>
      <c r="C32" s="101"/>
      <c r="D32" s="101"/>
      <c r="E32" s="101"/>
      <c r="F32" s="101"/>
      <c r="G32" s="88">
        <f t="shared" si="5"/>
        <v>0</v>
      </c>
      <c r="H32" s="101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</row>
    <row r="33" ht="15.75" customHeight="1">
      <c r="A33" s="173"/>
      <c r="B33" s="94"/>
      <c r="C33" s="94"/>
      <c r="D33" s="94"/>
      <c r="E33" s="94"/>
      <c r="F33" s="94"/>
      <c r="G33" s="94"/>
      <c r="H33" s="94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</row>
    <row r="34" ht="15.75" customHeight="1">
      <c r="A34" s="120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</row>
    <row r="35" ht="15.75" customHeight="1">
      <c r="A35" s="120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</row>
    <row r="36" ht="15.75" customHeight="1">
      <c r="A36" s="120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</row>
    <row r="37" ht="15.75" customHeight="1">
      <c r="A37" s="120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</row>
    <row r="38" ht="15.75" customHeight="1">
      <c r="A38" s="120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</row>
    <row r="39" ht="15.75" customHeight="1">
      <c r="A39" s="120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</row>
    <row r="40" ht="15.75" customHeight="1">
      <c r="A40" s="120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</row>
    <row r="41" ht="15.75" customHeight="1">
      <c r="A41" s="120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ht="15.75" customHeight="1">
      <c r="A42" s="120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</row>
    <row r="43" ht="15.75" customHeight="1">
      <c r="A43" s="120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</row>
    <row r="44" ht="15.75" customHeight="1">
      <c r="A44" s="120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</row>
    <row r="45" ht="15.75" customHeight="1">
      <c r="A45" s="120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</row>
    <row r="46" ht="15.75" customHeight="1">
      <c r="A46" s="120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</row>
    <row r="47" ht="15.75" customHeight="1">
      <c r="A47" s="120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</row>
    <row r="48" ht="15.75" customHeight="1">
      <c r="A48" s="120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</row>
    <row r="49" ht="15.75" customHeight="1">
      <c r="A49" s="120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</row>
    <row r="50" ht="15.75" customHeight="1">
      <c r="A50" s="120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</row>
    <row r="51" ht="15.75" customHeight="1">
      <c r="A51" s="120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</row>
    <row r="52" ht="15.75" customHeight="1">
      <c r="A52" s="120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</row>
    <row r="53" ht="15.75" customHeight="1">
      <c r="A53" s="120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</row>
    <row r="54" ht="15.75" customHeight="1">
      <c r="A54" s="120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</row>
    <row r="55" ht="15.75" customHeight="1">
      <c r="A55" s="120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</row>
    <row r="56" ht="15.75" customHeight="1">
      <c r="A56" s="120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</row>
    <row r="57" ht="15.75" customHeight="1">
      <c r="A57" s="120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</row>
    <row r="58" ht="15.75" customHeight="1">
      <c r="A58" s="120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</row>
    <row r="59" ht="15.75" customHeight="1">
      <c r="A59" s="120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</row>
    <row r="60" ht="15.75" customHeight="1">
      <c r="A60" s="120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</row>
    <row r="61" ht="15.75" customHeight="1">
      <c r="A61" s="120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</row>
    <row r="62" ht="15.75" customHeight="1">
      <c r="A62" s="120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</row>
    <row r="63" ht="15.75" customHeight="1">
      <c r="A63" s="120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</row>
    <row r="64" ht="15.75" customHeight="1">
      <c r="A64" s="120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</row>
    <row r="65" ht="15.75" customHeight="1">
      <c r="A65" s="120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</row>
    <row r="66" ht="15.75" customHeight="1">
      <c r="A66" s="120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</row>
    <row r="67" ht="15.75" customHeight="1">
      <c r="A67" s="120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</row>
    <row r="68" ht="15.75" customHeight="1">
      <c r="A68" s="120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</row>
    <row r="69" ht="15.75" customHeight="1">
      <c r="A69" s="120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</row>
    <row r="70" ht="15.75" customHeight="1">
      <c r="A70" s="120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</row>
    <row r="71" ht="15.75" customHeight="1">
      <c r="A71" s="120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</row>
    <row r="72" ht="15.75" customHeight="1">
      <c r="A72" s="120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</row>
    <row r="73" ht="15.75" customHeight="1">
      <c r="A73" s="120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</row>
    <row r="74" ht="15.75" customHeight="1">
      <c r="A74" s="120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</row>
    <row r="75" ht="15.75" customHeight="1">
      <c r="A75" s="120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</row>
    <row r="76" ht="15.75" customHeight="1">
      <c r="A76" s="120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</row>
    <row r="77" ht="15.75" customHeight="1">
      <c r="A77" s="120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</row>
    <row r="78" ht="15.75" customHeight="1">
      <c r="A78" s="120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</row>
    <row r="79" ht="15.75" customHeight="1">
      <c r="A79" s="120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</row>
    <row r="80" ht="15.75" customHeight="1">
      <c r="A80" s="120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</row>
    <row r="81" ht="15.75" customHeight="1">
      <c r="A81" s="120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</row>
    <row r="82" ht="15.75" customHeight="1">
      <c r="A82" s="120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</row>
    <row r="83" ht="15.75" customHeight="1">
      <c r="A83" s="120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</row>
    <row r="84" ht="15.75" customHeight="1">
      <c r="A84" s="120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</row>
    <row r="85" ht="15.75" customHeight="1">
      <c r="A85" s="120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</row>
    <row r="86" ht="15.75" customHeight="1">
      <c r="A86" s="120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</row>
    <row r="87" ht="15.75" customHeight="1">
      <c r="A87" s="120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</row>
    <row r="88" ht="15.75" customHeight="1">
      <c r="A88" s="120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</row>
    <row r="89" ht="15.75" customHeight="1">
      <c r="A89" s="120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</row>
    <row r="90" ht="15.75" customHeight="1">
      <c r="A90" s="120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</row>
    <row r="91" ht="15.75" customHeight="1">
      <c r="A91" s="120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</row>
    <row r="92" ht="15.75" customHeight="1">
      <c r="A92" s="120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</row>
    <row r="93" ht="15.75" customHeight="1">
      <c r="A93" s="120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</row>
    <row r="94" ht="15.75" customHeight="1">
      <c r="A94" s="120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</row>
    <row r="95" ht="15.75" customHeight="1">
      <c r="A95" s="120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</row>
    <row r="96" ht="15.75" customHeight="1">
      <c r="A96" s="120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</row>
    <row r="97" ht="15.75" customHeight="1">
      <c r="A97" s="120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</row>
    <row r="98" ht="15.75" customHeight="1">
      <c r="A98" s="120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</row>
    <row r="99" ht="15.75" customHeight="1">
      <c r="A99" s="120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</row>
    <row r="100" ht="15.75" customHeight="1">
      <c r="A100" s="120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</row>
    <row r="101" ht="15.75" customHeight="1">
      <c r="A101" s="120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</row>
    <row r="102" ht="15.75" customHeight="1">
      <c r="A102" s="120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</row>
    <row r="103" ht="15.75" customHeight="1">
      <c r="A103" s="120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</row>
    <row r="104" ht="15.75" customHeight="1">
      <c r="A104" s="120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</row>
    <row r="105" ht="15.75" customHeight="1">
      <c r="A105" s="120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</row>
    <row r="106" ht="15.75" customHeight="1">
      <c r="A106" s="120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</row>
    <row r="107" ht="15.75" customHeight="1">
      <c r="A107" s="120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</row>
    <row r="108" ht="15.75" customHeight="1">
      <c r="A108" s="120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</row>
    <row r="109" ht="15.75" customHeight="1">
      <c r="A109" s="120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</row>
    <row r="110" ht="15.75" customHeight="1">
      <c r="A110" s="120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</row>
    <row r="111" ht="15.75" customHeight="1">
      <c r="A111" s="120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</row>
    <row r="112" ht="15.75" customHeight="1">
      <c r="A112" s="120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</row>
    <row r="113" ht="15.75" customHeight="1">
      <c r="A113" s="120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</row>
    <row r="114" ht="15.75" customHeight="1">
      <c r="A114" s="120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</row>
    <row r="115" ht="15.75" customHeight="1">
      <c r="A115" s="120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</row>
    <row r="116" ht="15.75" customHeight="1">
      <c r="A116" s="120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</row>
    <row r="117" ht="15.75" customHeight="1">
      <c r="A117" s="120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</row>
    <row r="118" ht="15.75" customHeight="1">
      <c r="A118" s="120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</row>
    <row r="119" ht="15.75" customHeight="1">
      <c r="A119" s="120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</row>
    <row r="120" ht="15.75" customHeight="1">
      <c r="A120" s="120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</row>
    <row r="121" ht="15.75" customHeight="1">
      <c r="A121" s="120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</row>
    <row r="122" ht="15.75" customHeight="1">
      <c r="A122" s="120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</row>
    <row r="123" ht="15.75" customHeight="1">
      <c r="A123" s="120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</row>
    <row r="124" ht="15.75" customHeight="1">
      <c r="A124" s="120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</row>
    <row r="125" ht="15.75" customHeight="1">
      <c r="A125" s="120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</row>
    <row r="126" ht="15.75" customHeight="1">
      <c r="A126" s="120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</row>
    <row r="127" ht="15.75" customHeight="1">
      <c r="A127" s="120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</row>
    <row r="128" ht="15.75" customHeight="1">
      <c r="A128" s="120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</row>
    <row r="129" ht="15.75" customHeight="1">
      <c r="A129" s="120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</row>
    <row r="130" ht="15.75" customHeight="1">
      <c r="A130" s="120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</row>
    <row r="131" ht="15.75" customHeight="1">
      <c r="A131" s="120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</row>
    <row r="132" ht="15.75" customHeight="1">
      <c r="A132" s="120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</row>
    <row r="133" ht="15.75" customHeight="1">
      <c r="A133" s="120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</row>
    <row r="134" ht="15.75" customHeight="1">
      <c r="A134" s="120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</row>
    <row r="135" ht="15.75" customHeight="1">
      <c r="A135" s="120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</row>
    <row r="136" ht="15.75" customHeight="1">
      <c r="A136" s="120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</row>
    <row r="137" ht="15.75" customHeight="1">
      <c r="A137" s="120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</row>
    <row r="138" ht="15.75" customHeight="1">
      <c r="A138" s="120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</row>
    <row r="139" ht="15.75" customHeight="1">
      <c r="A139" s="120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</row>
    <row r="140" ht="15.75" customHeight="1">
      <c r="A140" s="120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</row>
    <row r="141" ht="15.75" customHeight="1">
      <c r="A141" s="120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</row>
    <row r="142" ht="15.75" customHeight="1">
      <c r="A142" s="120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</row>
    <row r="143" ht="15.75" customHeight="1">
      <c r="A143" s="120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</row>
    <row r="144" ht="15.75" customHeight="1">
      <c r="A144" s="120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</row>
    <row r="145" ht="15.75" customHeight="1">
      <c r="A145" s="120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</row>
    <row r="146" ht="15.75" customHeight="1">
      <c r="A146" s="120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</row>
    <row r="147" ht="15.75" customHeight="1">
      <c r="A147" s="120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</row>
    <row r="148" ht="15.75" customHeight="1">
      <c r="A148" s="120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</row>
    <row r="149" ht="15.75" customHeight="1">
      <c r="A149" s="120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</row>
    <row r="150" ht="15.75" customHeight="1">
      <c r="A150" s="120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</row>
    <row r="151" ht="15.75" customHeight="1">
      <c r="A151" s="120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</row>
    <row r="152" ht="15.75" customHeight="1">
      <c r="A152" s="120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</row>
    <row r="153" ht="15.75" customHeight="1">
      <c r="A153" s="120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</row>
    <row r="154" ht="15.75" customHeight="1">
      <c r="A154" s="120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</row>
    <row r="155" ht="15.75" customHeight="1">
      <c r="A155" s="120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</row>
    <row r="156" ht="15.75" customHeight="1">
      <c r="A156" s="120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</row>
    <row r="157" ht="15.75" customHeight="1">
      <c r="A157" s="120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</row>
    <row r="158" ht="15.75" customHeight="1">
      <c r="A158" s="120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</row>
    <row r="159" ht="15.75" customHeight="1">
      <c r="A159" s="120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</row>
    <row r="160" ht="15.75" customHeight="1">
      <c r="A160" s="120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</row>
    <row r="161" ht="15.75" customHeight="1">
      <c r="A161" s="120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</row>
    <row r="162" ht="15.75" customHeight="1">
      <c r="A162" s="120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</row>
    <row r="163" ht="15.75" customHeight="1">
      <c r="A163" s="120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</row>
    <row r="164" ht="15.75" customHeight="1">
      <c r="A164" s="120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</row>
    <row r="165" ht="15.75" customHeight="1">
      <c r="A165" s="120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</row>
    <row r="166" ht="15.75" customHeight="1">
      <c r="A166" s="120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</row>
    <row r="167" ht="15.75" customHeight="1">
      <c r="A167" s="120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</row>
    <row r="168" ht="15.75" customHeight="1">
      <c r="A168" s="120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</row>
    <row r="169" ht="15.75" customHeight="1">
      <c r="A169" s="120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</row>
    <row r="170" ht="15.75" customHeight="1">
      <c r="A170" s="120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</row>
    <row r="171" ht="15.75" customHeight="1">
      <c r="A171" s="120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</row>
    <row r="172" ht="15.75" customHeight="1">
      <c r="A172" s="120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</row>
    <row r="173" ht="15.75" customHeight="1">
      <c r="A173" s="120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</row>
    <row r="174" ht="15.75" customHeight="1">
      <c r="A174" s="120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</row>
    <row r="175" ht="15.75" customHeight="1">
      <c r="A175" s="120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</row>
    <row r="176" ht="15.75" customHeight="1">
      <c r="A176" s="120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</row>
    <row r="177" ht="15.75" customHeight="1">
      <c r="A177" s="120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</row>
    <row r="178" ht="15.75" customHeight="1">
      <c r="A178" s="120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</row>
    <row r="179" ht="15.75" customHeight="1">
      <c r="A179" s="120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</row>
    <row r="180" ht="15.75" customHeight="1">
      <c r="A180" s="120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</row>
    <row r="181" ht="15.75" customHeight="1">
      <c r="A181" s="120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</row>
    <row r="182" ht="15.75" customHeight="1">
      <c r="A182" s="120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</row>
    <row r="183" ht="15.75" customHeight="1">
      <c r="A183" s="120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</row>
    <row r="184" ht="15.75" customHeight="1">
      <c r="A184" s="120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</row>
    <row r="185" ht="15.75" customHeight="1">
      <c r="A185" s="120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</row>
    <row r="186" ht="15.75" customHeight="1">
      <c r="A186" s="120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</row>
    <row r="187" ht="15.75" customHeight="1">
      <c r="A187" s="120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</row>
    <row r="188" ht="15.75" customHeight="1">
      <c r="A188" s="120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</row>
    <row r="189" ht="15.75" customHeight="1">
      <c r="A189" s="120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</row>
    <row r="190" ht="15.75" customHeight="1">
      <c r="A190" s="120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</row>
    <row r="191" ht="15.75" customHeight="1">
      <c r="A191" s="120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</row>
    <row r="192" ht="15.75" customHeight="1">
      <c r="A192" s="120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</row>
    <row r="193" ht="15.75" customHeight="1">
      <c r="A193" s="120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</row>
    <row r="194" ht="15.75" customHeight="1">
      <c r="A194" s="120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</row>
    <row r="195" ht="15.75" customHeight="1">
      <c r="A195" s="120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</row>
    <row r="196" ht="15.75" customHeight="1">
      <c r="A196" s="120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</row>
    <row r="197" ht="15.75" customHeight="1">
      <c r="A197" s="120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</row>
    <row r="198" ht="15.75" customHeight="1">
      <c r="A198" s="120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</row>
    <row r="199" ht="15.75" customHeight="1">
      <c r="A199" s="120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</row>
    <row r="200" ht="15.75" customHeight="1">
      <c r="A200" s="120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</row>
    <row r="201" ht="15.75" customHeight="1">
      <c r="A201" s="120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</row>
    <row r="202" ht="15.75" customHeight="1">
      <c r="A202" s="120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</row>
    <row r="203" ht="15.75" customHeight="1">
      <c r="A203" s="120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</row>
    <row r="204" ht="15.75" customHeight="1">
      <c r="A204" s="120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</row>
    <row r="205" ht="15.75" customHeight="1">
      <c r="A205" s="120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</row>
    <row r="206" ht="15.75" customHeight="1">
      <c r="A206" s="120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</row>
    <row r="207" ht="15.75" customHeight="1">
      <c r="A207" s="120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</row>
    <row r="208" ht="15.75" customHeight="1">
      <c r="A208" s="120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</row>
    <row r="209" ht="15.75" customHeight="1">
      <c r="A209" s="120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</row>
    <row r="210" ht="15.75" customHeight="1">
      <c r="A210" s="120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</row>
    <row r="211" ht="15.75" customHeight="1">
      <c r="A211" s="120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</row>
    <row r="212" ht="15.75" customHeight="1">
      <c r="A212" s="120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</row>
    <row r="213" ht="15.75" customHeight="1">
      <c r="A213" s="120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</row>
    <row r="214" ht="15.75" customHeight="1">
      <c r="A214" s="120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</row>
    <row r="215" ht="15.75" customHeight="1">
      <c r="A215" s="120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</row>
    <row r="216" ht="15.75" customHeight="1">
      <c r="A216" s="120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</row>
    <row r="217" ht="15.75" customHeight="1">
      <c r="A217" s="120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</row>
    <row r="218" ht="15.75" customHeight="1">
      <c r="A218" s="120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</row>
    <row r="219" ht="15.75" customHeight="1">
      <c r="A219" s="120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</row>
    <row r="220" ht="15.75" customHeight="1">
      <c r="A220" s="120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</row>
    <row r="221" ht="15.75" customHeight="1">
      <c r="A221" s="120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</row>
    <row r="222" ht="15.75" customHeight="1">
      <c r="A222" s="120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</row>
    <row r="223" ht="15.75" customHeight="1">
      <c r="A223" s="120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</row>
    <row r="224" ht="15.75" customHeight="1">
      <c r="A224" s="120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</row>
    <row r="225" ht="15.75" customHeight="1">
      <c r="A225" s="120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</row>
    <row r="226" ht="15.75" customHeight="1">
      <c r="A226" s="120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</row>
    <row r="227" ht="15.75" customHeight="1">
      <c r="A227" s="120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</row>
    <row r="228" ht="15.75" customHeight="1">
      <c r="A228" s="120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</row>
    <row r="229" ht="15.75" customHeight="1">
      <c r="A229" s="120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</row>
    <row r="230" ht="15.75" customHeight="1">
      <c r="A230" s="120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</row>
    <row r="231" ht="15.75" customHeight="1">
      <c r="A231" s="120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</row>
    <row r="232" ht="15.75" customHeight="1">
      <c r="A232" s="120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7:C7"/>
    <mergeCell ref="B8:C8"/>
    <mergeCell ref="B9:C9"/>
    <mergeCell ref="B10:C10"/>
    <mergeCell ref="B12:E12"/>
    <mergeCell ref="G12:H12"/>
    <mergeCell ref="A14:H14"/>
    <mergeCell ref="B2:C2"/>
    <mergeCell ref="H2:J2"/>
    <mergeCell ref="B3:C3"/>
    <mergeCell ref="B5:C6"/>
    <mergeCell ref="D5:D6"/>
    <mergeCell ref="E5:E6"/>
    <mergeCell ref="F5:F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517</v>
      </c>
      <c r="B1" s="9" t="s">
        <v>518</v>
      </c>
    </row>
    <row r="2" ht="15.75" customHeight="1"/>
    <row r="3" ht="15.75" customHeight="1"/>
    <row r="4" ht="15.75" customHeight="1">
      <c r="C4" s="73"/>
      <c r="D4" s="73"/>
      <c r="E4" s="73"/>
      <c r="F4" s="273" t="s">
        <v>519</v>
      </c>
      <c r="G4" s="69"/>
      <c r="H4" s="71"/>
    </row>
    <row r="5" ht="15.75" customHeight="1">
      <c r="C5" s="45" t="s">
        <v>94</v>
      </c>
      <c r="D5" s="191"/>
      <c r="E5" s="178"/>
      <c r="F5" s="384" t="s">
        <v>95</v>
      </c>
      <c r="G5" s="385" t="s">
        <v>96</v>
      </c>
      <c r="H5" s="385" t="s">
        <v>520</v>
      </c>
    </row>
    <row r="6" ht="15.75" customHeight="1">
      <c r="C6" s="181"/>
      <c r="D6" s="198"/>
      <c r="E6" s="51"/>
      <c r="F6" s="16"/>
      <c r="G6" s="199"/>
      <c r="H6" s="199"/>
    </row>
    <row r="7" ht="15.75" customHeight="1">
      <c r="C7" s="185" t="s">
        <v>521</v>
      </c>
      <c r="D7" s="2"/>
      <c r="E7" s="3"/>
      <c r="F7" s="86">
        <v>339.0</v>
      </c>
      <c r="G7" s="201">
        <f>F7/20</f>
        <v>16.95</v>
      </c>
      <c r="H7" s="201">
        <f t="shared" ref="H7:H11" si="1">G7*1.3</f>
        <v>22.035</v>
      </c>
      <c r="I7" s="8">
        <v>23.0</v>
      </c>
    </row>
    <row r="8" ht="15.75" customHeight="1">
      <c r="C8" s="185" t="s">
        <v>522</v>
      </c>
      <c r="D8" s="2"/>
      <c r="E8" s="3"/>
      <c r="F8" s="152">
        <v>525.0</v>
      </c>
      <c r="G8" s="201">
        <f>F8/30</f>
        <v>17.5</v>
      </c>
      <c r="H8" s="201">
        <f t="shared" si="1"/>
        <v>22.75</v>
      </c>
      <c r="I8" s="8">
        <v>23.0</v>
      </c>
    </row>
    <row r="9" ht="15.75" customHeight="1">
      <c r="C9" s="386" t="s">
        <v>523</v>
      </c>
      <c r="D9" s="387"/>
      <c r="E9" s="388"/>
      <c r="F9" s="389">
        <v>367.0</v>
      </c>
      <c r="G9" s="201">
        <f>F9/126</f>
        <v>2.912698413</v>
      </c>
      <c r="H9" s="201">
        <f t="shared" si="1"/>
        <v>3.786507937</v>
      </c>
      <c r="I9" s="8">
        <v>4.0</v>
      </c>
    </row>
    <row r="10" ht="15.75" customHeight="1">
      <c r="C10" s="185" t="s">
        <v>524</v>
      </c>
      <c r="D10" s="2"/>
      <c r="E10" s="3"/>
      <c r="F10" s="322">
        <v>210.0</v>
      </c>
      <c r="G10" s="201">
        <f>210/12</f>
        <v>17.5</v>
      </c>
      <c r="H10" s="186">
        <f t="shared" si="1"/>
        <v>22.75</v>
      </c>
      <c r="I10" s="386">
        <v>23.0</v>
      </c>
    </row>
    <row r="11" ht="15.75" customHeight="1">
      <c r="C11" s="183" t="s">
        <v>525</v>
      </c>
      <c r="D11" s="198"/>
      <c r="E11" s="51"/>
      <c r="F11" s="30">
        <v>215.0</v>
      </c>
      <c r="G11" s="201">
        <f>215/300</f>
        <v>0.7166666667</v>
      </c>
      <c r="H11" s="201">
        <f t="shared" si="1"/>
        <v>0.9316666667</v>
      </c>
      <c r="I11" s="8">
        <v>1.0</v>
      </c>
    </row>
    <row r="12" ht="15.75" customHeight="1">
      <c r="C12" s="185"/>
      <c r="D12" s="2"/>
      <c r="E12" s="3"/>
      <c r="F12" s="30"/>
      <c r="G12" s="201"/>
      <c r="H12" s="390"/>
    </row>
    <row r="13" ht="15.75" customHeight="1">
      <c r="C13" s="185"/>
      <c r="D13" s="2"/>
      <c r="E13" s="3"/>
      <c r="F13" s="30"/>
      <c r="G13" s="186"/>
      <c r="H13" s="391"/>
    </row>
    <row r="14" ht="15.75" customHeight="1">
      <c r="C14" s="185"/>
      <c r="D14" s="2"/>
      <c r="E14" s="3"/>
      <c r="F14" s="30"/>
      <c r="G14" s="186"/>
      <c r="H14" s="391"/>
    </row>
    <row r="15" ht="15.75" customHeight="1">
      <c r="C15" s="185"/>
      <c r="D15" s="2"/>
      <c r="E15" s="3"/>
      <c r="F15" s="86"/>
      <c r="G15" s="186"/>
      <c r="H15" s="390"/>
    </row>
    <row r="16" ht="15.75" customHeight="1">
      <c r="C16" s="185"/>
      <c r="D16" s="2"/>
      <c r="E16" s="3"/>
      <c r="F16" s="86"/>
      <c r="G16" s="186"/>
      <c r="H16" s="390"/>
    </row>
    <row r="17" ht="15.75" customHeight="1">
      <c r="C17" s="327"/>
      <c r="D17" s="216"/>
      <c r="E17" s="58"/>
      <c r="F17" s="392"/>
      <c r="G17" s="393"/>
      <c r="H17" s="394"/>
    </row>
    <row r="18" ht="15.75" customHeight="1">
      <c r="C18" s="327"/>
      <c r="D18" s="216"/>
      <c r="E18" s="58"/>
      <c r="F18" s="392"/>
      <c r="G18" s="393"/>
      <c r="H18" s="394"/>
    </row>
    <row r="19" ht="15.75" customHeight="1"/>
    <row r="20" ht="15.75" customHeight="1"/>
    <row r="21" ht="15.75" customHeight="1">
      <c r="A21" s="379" t="s">
        <v>119</v>
      </c>
      <c r="B21" s="68" t="s">
        <v>120</v>
      </c>
      <c r="C21" s="69"/>
      <c r="D21" s="69"/>
      <c r="E21" s="69"/>
      <c r="F21" s="71"/>
      <c r="G21" s="70" t="s">
        <v>121</v>
      </c>
      <c r="H21" s="71"/>
    </row>
    <row r="22" ht="15.75" customHeight="1">
      <c r="A22" s="379" t="s">
        <v>119</v>
      </c>
      <c r="B22" s="158" t="s">
        <v>526</v>
      </c>
      <c r="C22" s="158" t="s">
        <v>522</v>
      </c>
      <c r="D22" s="158" t="s">
        <v>527</v>
      </c>
      <c r="E22" s="158" t="s">
        <v>528</v>
      </c>
      <c r="F22" s="158" t="s">
        <v>529</v>
      </c>
      <c r="G22" s="258" t="s">
        <v>127</v>
      </c>
      <c r="H22" s="258" t="s">
        <v>128</v>
      </c>
    </row>
    <row r="23" ht="15.75" customHeight="1">
      <c r="A23" s="380"/>
      <c r="B23" s="69"/>
      <c r="C23" s="69"/>
      <c r="D23" s="69"/>
      <c r="E23" s="69"/>
      <c r="F23" s="69"/>
      <c r="G23" s="69"/>
      <c r="H23" s="71"/>
    </row>
    <row r="24" ht="15.75" customHeight="1">
      <c r="A24" s="270"/>
      <c r="B24" s="101"/>
      <c r="C24" s="101"/>
      <c r="D24" s="101"/>
      <c r="E24" s="101"/>
      <c r="F24" s="101"/>
      <c r="G24" s="88">
        <f t="shared" ref="G24:G49" si="2">B24*$D$7+C24*$D$8+D24*$D$9+E24*$D$10+F24*$D$11</f>
        <v>0</v>
      </c>
      <c r="H24" s="101"/>
    </row>
    <row r="25" ht="15.75" customHeight="1">
      <c r="A25" s="270"/>
      <c r="B25" s="101"/>
      <c r="C25" s="101"/>
      <c r="D25" s="101"/>
      <c r="E25" s="101"/>
      <c r="F25" s="101"/>
      <c r="G25" s="88">
        <f t="shared" si="2"/>
        <v>0</v>
      </c>
      <c r="H25" s="101"/>
    </row>
    <row r="26" ht="15.75" customHeight="1">
      <c r="A26" s="270"/>
      <c r="B26" s="101"/>
      <c r="C26" s="101"/>
      <c r="D26" s="101"/>
      <c r="E26" s="101"/>
      <c r="F26" s="101"/>
      <c r="G26" s="88">
        <f t="shared" si="2"/>
        <v>0</v>
      </c>
      <c r="H26" s="101"/>
    </row>
    <row r="27" ht="15.75" customHeight="1">
      <c r="A27" s="270"/>
      <c r="B27" s="101"/>
      <c r="C27" s="101"/>
      <c r="D27" s="101"/>
      <c r="E27" s="101"/>
      <c r="F27" s="101"/>
      <c r="G27" s="88">
        <f t="shared" si="2"/>
        <v>0</v>
      </c>
      <c r="H27" s="101"/>
    </row>
    <row r="28" ht="15.75" customHeight="1">
      <c r="A28" s="270"/>
      <c r="B28" s="101"/>
      <c r="C28" s="101"/>
      <c r="D28" s="101"/>
      <c r="E28" s="101"/>
      <c r="F28" s="101"/>
      <c r="G28" s="88">
        <f t="shared" si="2"/>
        <v>0</v>
      </c>
      <c r="H28" s="101"/>
    </row>
    <row r="29" ht="15.75" customHeight="1">
      <c r="A29" s="270"/>
      <c r="B29" s="101"/>
      <c r="C29" s="101"/>
      <c r="D29" s="101"/>
      <c r="E29" s="101"/>
      <c r="F29" s="101"/>
      <c r="G29" s="88">
        <f t="shared" si="2"/>
        <v>0</v>
      </c>
      <c r="H29" s="101"/>
    </row>
    <row r="30" ht="15.75" customHeight="1">
      <c r="A30" s="270"/>
      <c r="B30" s="101"/>
      <c r="C30" s="101"/>
      <c r="D30" s="101"/>
      <c r="E30" s="101"/>
      <c r="F30" s="101"/>
      <c r="G30" s="88">
        <f t="shared" si="2"/>
        <v>0</v>
      </c>
      <c r="H30" s="101"/>
    </row>
    <row r="31" ht="15.75" customHeight="1">
      <c r="A31" s="270"/>
      <c r="B31" s="101"/>
      <c r="C31" s="101"/>
      <c r="D31" s="101"/>
      <c r="E31" s="101"/>
      <c r="F31" s="101"/>
      <c r="G31" s="88">
        <f t="shared" si="2"/>
        <v>0</v>
      </c>
      <c r="H31" s="101"/>
    </row>
    <row r="32" ht="15.75" customHeight="1">
      <c r="A32" s="270"/>
      <c r="B32" s="101"/>
      <c r="C32" s="101"/>
      <c r="D32" s="101"/>
      <c r="E32" s="101"/>
      <c r="F32" s="101"/>
      <c r="G32" s="88">
        <f t="shared" si="2"/>
        <v>0</v>
      </c>
      <c r="H32" s="101"/>
    </row>
    <row r="33" ht="15.75" customHeight="1">
      <c r="A33" s="270"/>
      <c r="B33" s="101"/>
      <c r="C33" s="101"/>
      <c r="D33" s="101"/>
      <c r="E33" s="101"/>
      <c r="F33" s="101"/>
      <c r="G33" s="88">
        <f t="shared" si="2"/>
        <v>0</v>
      </c>
      <c r="H33" s="101"/>
    </row>
    <row r="34" ht="15.75" customHeight="1">
      <c r="A34" s="270"/>
      <c r="B34" s="101"/>
      <c r="C34" s="101"/>
      <c r="D34" s="101"/>
      <c r="E34" s="101"/>
      <c r="F34" s="101"/>
      <c r="G34" s="88">
        <f t="shared" si="2"/>
        <v>0</v>
      </c>
      <c r="H34" s="101"/>
    </row>
    <row r="35" ht="15.75" customHeight="1">
      <c r="A35" s="270"/>
      <c r="B35" s="101"/>
      <c r="C35" s="101"/>
      <c r="D35" s="101"/>
      <c r="E35" s="101"/>
      <c r="F35" s="101"/>
      <c r="G35" s="88">
        <f t="shared" si="2"/>
        <v>0</v>
      </c>
      <c r="H35" s="101"/>
    </row>
    <row r="36" ht="15.75" customHeight="1">
      <c r="A36" s="270"/>
      <c r="B36" s="101"/>
      <c r="C36" s="101"/>
      <c r="D36" s="101"/>
      <c r="E36" s="101"/>
      <c r="F36" s="101"/>
      <c r="G36" s="88">
        <f t="shared" si="2"/>
        <v>0</v>
      </c>
      <c r="H36" s="101"/>
    </row>
    <row r="37" ht="15.75" customHeight="1">
      <c r="A37" s="270"/>
      <c r="B37" s="101"/>
      <c r="C37" s="101"/>
      <c r="D37" s="101"/>
      <c r="E37" s="101"/>
      <c r="F37" s="101"/>
      <c r="G37" s="88">
        <f t="shared" si="2"/>
        <v>0</v>
      </c>
      <c r="H37" s="101"/>
    </row>
    <row r="38" ht="15.75" customHeight="1">
      <c r="A38" s="159"/>
      <c r="B38" s="101"/>
      <c r="C38" s="101"/>
      <c r="D38" s="101"/>
      <c r="E38" s="101"/>
      <c r="F38" s="101"/>
      <c r="G38" s="88">
        <f t="shared" si="2"/>
        <v>0</v>
      </c>
      <c r="H38" s="101"/>
    </row>
    <row r="39" ht="15.75" customHeight="1">
      <c r="A39" s="159"/>
      <c r="B39" s="101"/>
      <c r="C39" s="101"/>
      <c r="D39" s="101"/>
      <c r="E39" s="101"/>
      <c r="F39" s="101"/>
      <c r="G39" s="88">
        <f t="shared" si="2"/>
        <v>0</v>
      </c>
      <c r="H39" s="101"/>
    </row>
    <row r="40" ht="15.75" customHeight="1">
      <c r="A40" s="159"/>
      <c r="B40" s="101"/>
      <c r="C40" s="101"/>
      <c r="D40" s="101"/>
      <c r="E40" s="101"/>
      <c r="F40" s="101"/>
      <c r="G40" s="88">
        <f t="shared" si="2"/>
        <v>0</v>
      </c>
      <c r="H40" s="101"/>
    </row>
    <row r="41" ht="15.75" customHeight="1">
      <c r="A41" s="159"/>
      <c r="B41" s="101"/>
      <c r="C41" s="101"/>
      <c r="D41" s="101"/>
      <c r="E41" s="101"/>
      <c r="F41" s="101"/>
      <c r="G41" s="88">
        <f t="shared" si="2"/>
        <v>0</v>
      </c>
      <c r="H41" s="101"/>
    </row>
    <row r="42" ht="15.75" customHeight="1">
      <c r="A42" s="159"/>
      <c r="B42" s="101"/>
      <c r="C42" s="101"/>
      <c r="D42" s="101"/>
      <c r="E42" s="101"/>
      <c r="F42" s="101"/>
      <c r="G42" s="88">
        <f t="shared" si="2"/>
        <v>0</v>
      </c>
      <c r="H42" s="101"/>
    </row>
    <row r="43" ht="15.75" customHeight="1">
      <c r="A43" s="159"/>
      <c r="B43" s="101"/>
      <c r="C43" s="101"/>
      <c r="D43" s="101"/>
      <c r="E43" s="101"/>
      <c r="F43" s="101"/>
      <c r="G43" s="88">
        <f t="shared" si="2"/>
        <v>0</v>
      </c>
      <c r="H43" s="101"/>
    </row>
    <row r="44" ht="15.75" customHeight="1">
      <c r="A44" s="159"/>
      <c r="B44" s="101"/>
      <c r="C44" s="101"/>
      <c r="D44" s="101"/>
      <c r="E44" s="101"/>
      <c r="F44" s="101"/>
      <c r="G44" s="88">
        <f t="shared" si="2"/>
        <v>0</v>
      </c>
      <c r="H44" s="101"/>
    </row>
    <row r="45" ht="15.75" customHeight="1">
      <c r="A45" s="159"/>
      <c r="B45" s="101"/>
      <c r="C45" s="101"/>
      <c r="D45" s="101"/>
      <c r="E45" s="101"/>
      <c r="F45" s="101"/>
      <c r="G45" s="88">
        <f t="shared" si="2"/>
        <v>0</v>
      </c>
      <c r="H45" s="101"/>
    </row>
    <row r="46" ht="15.75" customHeight="1">
      <c r="A46" s="159"/>
      <c r="B46" s="101"/>
      <c r="C46" s="101"/>
      <c r="D46" s="101"/>
      <c r="E46" s="101"/>
      <c r="F46" s="101"/>
      <c r="G46" s="88">
        <f t="shared" si="2"/>
        <v>0</v>
      </c>
      <c r="H46" s="101"/>
    </row>
    <row r="47" ht="15.75" customHeight="1">
      <c r="A47" s="159"/>
      <c r="B47" s="101"/>
      <c r="C47" s="101"/>
      <c r="D47" s="101"/>
      <c r="E47" s="101"/>
      <c r="F47" s="101"/>
      <c r="G47" s="88">
        <f t="shared" si="2"/>
        <v>0</v>
      </c>
      <c r="H47" s="101"/>
    </row>
    <row r="48" ht="15.75" customHeight="1">
      <c r="A48" s="159"/>
      <c r="B48" s="101"/>
      <c r="C48" s="101"/>
      <c r="D48" s="101"/>
      <c r="E48" s="101"/>
      <c r="F48" s="101"/>
      <c r="G48" s="88">
        <f t="shared" si="2"/>
        <v>0</v>
      </c>
      <c r="H48" s="101"/>
    </row>
    <row r="49" ht="15.75" customHeight="1">
      <c r="A49" s="159"/>
      <c r="B49" s="101"/>
      <c r="C49" s="101"/>
      <c r="D49" s="101"/>
      <c r="E49" s="101"/>
      <c r="F49" s="101"/>
      <c r="G49" s="88">
        <f t="shared" si="2"/>
        <v>0</v>
      </c>
      <c r="H49" s="101"/>
    </row>
    <row r="50" ht="15.75" customHeight="1">
      <c r="A50" s="173"/>
      <c r="B50" s="94"/>
      <c r="C50" s="94"/>
      <c r="D50" s="94"/>
      <c r="E50" s="94"/>
      <c r="F50" s="94"/>
      <c r="G50" s="94"/>
      <c r="H50" s="9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F4:H4"/>
    <mergeCell ref="C5:E6"/>
    <mergeCell ref="F5:F6"/>
    <mergeCell ref="G5:G6"/>
    <mergeCell ref="H5:H6"/>
    <mergeCell ref="C7:E7"/>
    <mergeCell ref="C8:E8"/>
    <mergeCell ref="C17:E17"/>
    <mergeCell ref="C18:E18"/>
    <mergeCell ref="B21:F21"/>
    <mergeCell ref="G21:H21"/>
    <mergeCell ref="A23:H23"/>
    <mergeCell ref="C10:E10"/>
    <mergeCell ref="C11:E11"/>
    <mergeCell ref="C12:E12"/>
    <mergeCell ref="C13:E13"/>
    <mergeCell ref="C14:E14"/>
    <mergeCell ref="C15:E15"/>
    <mergeCell ref="C16:E1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F2" s="273" t="s">
        <v>530</v>
      </c>
      <c r="G2" s="69"/>
      <c r="H2" s="71"/>
    </row>
    <row r="3" ht="15.75" customHeight="1">
      <c r="C3" s="73"/>
      <c r="D3" s="73"/>
      <c r="E3" s="73"/>
      <c r="F3" s="273" t="s">
        <v>531</v>
      </c>
      <c r="G3" s="69"/>
      <c r="H3" s="71"/>
    </row>
    <row r="4" ht="15.75" customHeight="1">
      <c r="C4" s="45" t="s">
        <v>94</v>
      </c>
      <c r="D4" s="191"/>
      <c r="E4" s="178"/>
      <c r="F4" s="384" t="s">
        <v>95</v>
      </c>
      <c r="G4" s="138" t="s">
        <v>96</v>
      </c>
      <c r="H4" s="385" t="s">
        <v>520</v>
      </c>
    </row>
    <row r="5" ht="15.75" customHeight="1">
      <c r="C5" s="181"/>
      <c r="D5" s="198"/>
      <c r="E5" s="51"/>
      <c r="F5" s="16"/>
      <c r="G5" s="16"/>
      <c r="H5" s="199"/>
      <c r="L5" s="8" t="s">
        <v>532</v>
      </c>
    </row>
    <row r="6" ht="15.75" customHeight="1">
      <c r="C6" s="208" t="s">
        <v>533</v>
      </c>
      <c r="D6" s="209"/>
      <c r="E6" s="210"/>
      <c r="F6" s="395">
        <v>40.0</v>
      </c>
      <c r="G6" s="395">
        <v>40.0</v>
      </c>
      <c r="H6" s="395">
        <v>55.0</v>
      </c>
      <c r="K6" s="8">
        <v>4.0</v>
      </c>
      <c r="L6" s="153" t="s">
        <v>534</v>
      </c>
    </row>
    <row r="7" ht="15.75" customHeight="1">
      <c r="C7" s="181"/>
      <c r="D7" s="198"/>
      <c r="E7" s="51"/>
      <c r="F7" s="16"/>
      <c r="G7" s="16"/>
      <c r="H7" s="16"/>
      <c r="K7" s="8">
        <v>4.0</v>
      </c>
      <c r="L7" s="8" t="s">
        <v>535</v>
      </c>
    </row>
    <row r="8" ht="15.75" customHeight="1">
      <c r="C8" s="396"/>
      <c r="E8" s="397"/>
      <c r="F8" s="389"/>
      <c r="G8" s="26"/>
      <c r="H8" s="26"/>
      <c r="K8" s="8">
        <v>4.0</v>
      </c>
      <c r="L8" s="8" t="s">
        <v>536</v>
      </c>
    </row>
    <row r="9" ht="15.75" customHeight="1">
      <c r="C9" s="185"/>
      <c r="D9" s="2"/>
      <c r="E9" s="3"/>
      <c r="F9" s="322"/>
      <c r="G9" s="30"/>
      <c r="H9" s="30"/>
      <c r="K9" s="8">
        <v>4.0</v>
      </c>
      <c r="L9" s="8" t="s">
        <v>537</v>
      </c>
    </row>
    <row r="10" ht="15.75" customHeight="1">
      <c r="C10" s="183"/>
      <c r="D10" s="198"/>
      <c r="E10" s="51"/>
      <c r="F10" s="30"/>
      <c r="G10" s="201"/>
      <c r="H10" s="201"/>
      <c r="L10" s="153"/>
    </row>
    <row r="11" ht="15.75" customHeight="1"/>
    <row r="12" ht="15.75" customHeight="1">
      <c r="M12" s="380" t="s">
        <v>480</v>
      </c>
      <c r="N12" s="69"/>
      <c r="O12" s="71"/>
    </row>
    <row r="13" ht="15.75" customHeight="1">
      <c r="A13" s="398" t="s">
        <v>119</v>
      </c>
      <c r="B13" s="68" t="s">
        <v>538</v>
      </c>
      <c r="C13" s="69"/>
      <c r="D13" s="69"/>
      <c r="E13" s="69"/>
      <c r="F13" s="69"/>
      <c r="G13" s="69"/>
      <c r="H13" s="69"/>
      <c r="I13" s="71"/>
      <c r="J13" s="70" t="s">
        <v>121</v>
      </c>
      <c r="K13" s="71"/>
      <c r="M13" s="157" t="s">
        <v>122</v>
      </c>
      <c r="N13" s="69"/>
      <c r="O13" s="71"/>
    </row>
    <row r="14" ht="15.75" customHeight="1">
      <c r="A14" s="158" t="s">
        <v>253</v>
      </c>
      <c r="B14" s="258" t="s">
        <v>539</v>
      </c>
      <c r="C14" s="258" t="s">
        <v>540</v>
      </c>
      <c r="D14" s="258" t="s">
        <v>541</v>
      </c>
      <c r="E14" s="158" t="s">
        <v>542</v>
      </c>
      <c r="F14" s="158" t="s">
        <v>543</v>
      </c>
      <c r="G14" s="158" t="s">
        <v>196</v>
      </c>
      <c r="H14" s="258" t="s">
        <v>544</v>
      </c>
      <c r="I14" s="258"/>
      <c r="J14" s="258" t="s">
        <v>310</v>
      </c>
      <c r="K14" s="258" t="s">
        <v>127</v>
      </c>
      <c r="M14" s="84" t="s">
        <v>133</v>
      </c>
      <c r="N14" s="84" t="s">
        <v>351</v>
      </c>
      <c r="O14" s="84" t="s">
        <v>136</v>
      </c>
    </row>
    <row r="15" ht="15.75" customHeight="1">
      <c r="A15" s="311">
        <v>44730.0</v>
      </c>
      <c r="B15" s="101">
        <v>5.0</v>
      </c>
      <c r="C15" s="101"/>
      <c r="D15" s="101">
        <v>5.0</v>
      </c>
      <c r="E15" s="101"/>
      <c r="F15" s="88">
        <v>5.0</v>
      </c>
      <c r="G15" s="88">
        <v>5.0</v>
      </c>
      <c r="H15" s="88">
        <v>5.0</v>
      </c>
      <c r="I15" s="88"/>
      <c r="J15" s="88" t="s">
        <v>545</v>
      </c>
      <c r="K15" s="88">
        <f t="shared" ref="K15:K28" si="1">(B15+C15+D15+E15+F15+G15+H15+I15)*$F$6</f>
        <v>1000</v>
      </c>
      <c r="M15" s="206">
        <f>K15</f>
        <v>1000</v>
      </c>
      <c r="N15" s="88">
        <v>0.0</v>
      </c>
      <c r="O15" s="137">
        <f>(M15-N15)</f>
        <v>1000</v>
      </c>
    </row>
    <row r="16" ht="15.75" customHeight="1">
      <c r="A16" s="311">
        <v>44736.0</v>
      </c>
      <c r="B16" s="101">
        <v>10.0</v>
      </c>
      <c r="C16" s="101">
        <v>10.0</v>
      </c>
      <c r="D16" s="101">
        <v>5.0</v>
      </c>
      <c r="E16" s="101">
        <v>5.0</v>
      </c>
      <c r="F16" s="101"/>
      <c r="G16" s="88"/>
      <c r="H16" s="101"/>
      <c r="I16" s="101"/>
      <c r="J16" s="101" t="s">
        <v>546</v>
      </c>
      <c r="K16" s="88">
        <f t="shared" si="1"/>
        <v>1200</v>
      </c>
      <c r="M16" s="190"/>
      <c r="N16" s="101"/>
      <c r="O16" s="137">
        <f t="shared" ref="O16:O28" si="2">(M16-N16)+(O15)</f>
        <v>1000</v>
      </c>
    </row>
    <row r="17" ht="15.75" customHeight="1">
      <c r="A17" s="270">
        <v>44746.0</v>
      </c>
      <c r="B17" s="101">
        <v>4.0</v>
      </c>
      <c r="C17" s="101">
        <v>4.0</v>
      </c>
      <c r="D17" s="101">
        <v>4.0</v>
      </c>
      <c r="E17" s="101">
        <v>4.0</v>
      </c>
      <c r="F17" s="101"/>
      <c r="G17" s="88"/>
      <c r="H17" s="101"/>
      <c r="I17" s="101"/>
      <c r="J17" s="101" t="s">
        <v>547</v>
      </c>
      <c r="K17" s="88">
        <f t="shared" si="1"/>
        <v>640</v>
      </c>
      <c r="M17" s="190" t="str">
        <f t="shared" ref="M17:M28" si="3">J20</f>
        <v/>
      </c>
      <c r="N17" s="345"/>
      <c r="O17" s="137">
        <f t="shared" si="2"/>
        <v>1000</v>
      </c>
    </row>
    <row r="18" ht="15.75" customHeight="1">
      <c r="A18" s="270"/>
      <c r="B18" s="101"/>
      <c r="C18" s="101"/>
      <c r="D18" s="101"/>
      <c r="E18" s="101"/>
      <c r="F18" s="101"/>
      <c r="G18" s="88"/>
      <c r="H18" s="101"/>
      <c r="I18" s="101"/>
      <c r="J18" s="101"/>
      <c r="K18" s="88">
        <f t="shared" si="1"/>
        <v>0</v>
      </c>
      <c r="M18" s="190" t="str">
        <f t="shared" si="3"/>
        <v/>
      </c>
      <c r="N18" s="101"/>
      <c r="O18" s="137">
        <f t="shared" si="2"/>
        <v>1000</v>
      </c>
    </row>
    <row r="19" ht="15.75" customHeight="1">
      <c r="A19" s="270"/>
      <c r="B19" s="101"/>
      <c r="C19" s="101"/>
      <c r="D19" s="101"/>
      <c r="E19" s="101"/>
      <c r="F19" s="101"/>
      <c r="G19" s="88"/>
      <c r="H19" s="101"/>
      <c r="I19" s="101"/>
      <c r="J19" s="101"/>
      <c r="K19" s="88">
        <f t="shared" si="1"/>
        <v>0</v>
      </c>
      <c r="M19" s="190" t="str">
        <f t="shared" si="3"/>
        <v/>
      </c>
      <c r="N19" s="101"/>
      <c r="O19" s="137">
        <f t="shared" si="2"/>
        <v>1000</v>
      </c>
    </row>
    <row r="20" ht="15.75" customHeight="1">
      <c r="A20" s="270"/>
      <c r="B20" s="101"/>
      <c r="C20" s="101"/>
      <c r="D20" s="101"/>
      <c r="E20" s="101"/>
      <c r="F20" s="101"/>
      <c r="G20" s="88"/>
      <c r="H20" s="101"/>
      <c r="I20" s="101"/>
      <c r="J20" s="101"/>
      <c r="K20" s="88">
        <f t="shared" si="1"/>
        <v>0</v>
      </c>
      <c r="M20" s="318" t="str">
        <f t="shared" si="3"/>
        <v/>
      </c>
      <c r="N20" s="101"/>
      <c r="O20" s="137">
        <f t="shared" si="2"/>
        <v>1000</v>
      </c>
    </row>
    <row r="21" ht="15.75" customHeight="1">
      <c r="A21" s="270"/>
      <c r="B21" s="101"/>
      <c r="C21" s="101"/>
      <c r="D21" s="101"/>
      <c r="E21" s="101"/>
      <c r="F21" s="101"/>
      <c r="G21" s="88"/>
      <c r="H21" s="101"/>
      <c r="I21" s="101"/>
      <c r="J21" s="101"/>
      <c r="K21" s="88">
        <f t="shared" si="1"/>
        <v>0</v>
      </c>
      <c r="M21" s="318" t="str">
        <f t="shared" si="3"/>
        <v/>
      </c>
      <c r="N21" s="101"/>
      <c r="O21" s="137">
        <f t="shared" si="2"/>
        <v>1000</v>
      </c>
    </row>
    <row r="22" ht="15.75" customHeight="1">
      <c r="A22" s="270"/>
      <c r="B22" s="101"/>
      <c r="C22" s="101"/>
      <c r="D22" s="101"/>
      <c r="E22" s="101"/>
      <c r="F22" s="101"/>
      <c r="G22" s="88"/>
      <c r="H22" s="101"/>
      <c r="I22" s="101"/>
      <c r="J22" s="101"/>
      <c r="K22" s="88">
        <f t="shared" si="1"/>
        <v>0</v>
      </c>
      <c r="M22" s="318" t="str">
        <f t="shared" si="3"/>
        <v/>
      </c>
      <c r="N22" s="101"/>
      <c r="O22" s="137">
        <f t="shared" si="2"/>
        <v>1000</v>
      </c>
    </row>
    <row r="23" ht="15.75" customHeight="1">
      <c r="A23" s="270"/>
      <c r="B23" s="101"/>
      <c r="C23" s="101"/>
      <c r="D23" s="101"/>
      <c r="E23" s="101"/>
      <c r="F23" s="101"/>
      <c r="G23" s="88"/>
      <c r="H23" s="101"/>
      <c r="I23" s="101"/>
      <c r="J23" s="101"/>
      <c r="K23" s="88">
        <f t="shared" si="1"/>
        <v>0</v>
      </c>
      <c r="M23" s="318" t="str">
        <f t="shared" si="3"/>
        <v/>
      </c>
      <c r="N23" s="101"/>
      <c r="O23" s="137">
        <f t="shared" si="2"/>
        <v>1000</v>
      </c>
    </row>
    <row r="24" ht="15.75" customHeight="1">
      <c r="A24" s="270"/>
      <c r="B24" s="101"/>
      <c r="C24" s="101"/>
      <c r="D24" s="101"/>
      <c r="E24" s="101"/>
      <c r="F24" s="101"/>
      <c r="G24" s="88"/>
      <c r="H24" s="101"/>
      <c r="I24" s="101"/>
      <c r="J24" s="101"/>
      <c r="K24" s="88">
        <f t="shared" si="1"/>
        <v>0</v>
      </c>
      <c r="M24" s="318" t="str">
        <f t="shared" si="3"/>
        <v/>
      </c>
      <c r="N24" s="101"/>
      <c r="O24" s="137">
        <f t="shared" si="2"/>
        <v>1000</v>
      </c>
    </row>
    <row r="25" ht="15.75" customHeight="1">
      <c r="A25" s="270"/>
      <c r="B25" s="101"/>
      <c r="C25" s="101"/>
      <c r="D25" s="101"/>
      <c r="E25" s="101"/>
      <c r="F25" s="101"/>
      <c r="G25" s="88"/>
      <c r="H25" s="101"/>
      <c r="I25" s="101"/>
      <c r="J25" s="101"/>
      <c r="K25" s="88">
        <f t="shared" si="1"/>
        <v>0</v>
      </c>
      <c r="M25" s="318" t="str">
        <f t="shared" si="3"/>
        <v/>
      </c>
      <c r="N25" s="101"/>
      <c r="O25" s="137">
        <f t="shared" si="2"/>
        <v>1000</v>
      </c>
    </row>
    <row r="26" ht="15.75" customHeight="1">
      <c r="A26" s="270"/>
      <c r="B26" s="101"/>
      <c r="C26" s="101"/>
      <c r="D26" s="101"/>
      <c r="E26" s="101"/>
      <c r="F26" s="101"/>
      <c r="G26" s="88"/>
      <c r="H26" s="101"/>
      <c r="I26" s="101"/>
      <c r="J26" s="101"/>
      <c r="K26" s="88">
        <f t="shared" si="1"/>
        <v>0</v>
      </c>
      <c r="M26" s="318" t="str">
        <f t="shared" si="3"/>
        <v/>
      </c>
      <c r="N26" s="101"/>
      <c r="O26" s="137">
        <f t="shared" si="2"/>
        <v>1000</v>
      </c>
    </row>
    <row r="27" ht="15.75" customHeight="1">
      <c r="A27" s="270"/>
      <c r="B27" s="101"/>
      <c r="C27" s="101"/>
      <c r="D27" s="101"/>
      <c r="E27" s="101"/>
      <c r="F27" s="101"/>
      <c r="G27" s="88"/>
      <c r="H27" s="101"/>
      <c r="I27" s="101"/>
      <c r="J27" s="101"/>
      <c r="K27" s="88">
        <f t="shared" si="1"/>
        <v>0</v>
      </c>
      <c r="M27" s="318" t="str">
        <f t="shared" si="3"/>
        <v/>
      </c>
      <c r="N27" s="101"/>
      <c r="O27" s="137">
        <f t="shared" si="2"/>
        <v>1000</v>
      </c>
    </row>
    <row r="28" ht="15.75" customHeight="1">
      <c r="A28" s="270"/>
      <c r="B28" s="101"/>
      <c r="C28" s="101"/>
      <c r="D28" s="101"/>
      <c r="E28" s="101"/>
      <c r="F28" s="101"/>
      <c r="G28" s="88"/>
      <c r="H28" s="101"/>
      <c r="I28" s="101"/>
      <c r="J28" s="101"/>
      <c r="K28" s="88">
        <f t="shared" si="1"/>
        <v>0</v>
      </c>
      <c r="M28" s="318" t="str">
        <f t="shared" si="3"/>
        <v/>
      </c>
      <c r="N28" s="101"/>
      <c r="O28" s="137">
        <f t="shared" si="2"/>
        <v>1000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6:F7"/>
    <mergeCell ref="G6:G7"/>
    <mergeCell ref="M12:O12"/>
    <mergeCell ref="B13:I13"/>
    <mergeCell ref="J13:K13"/>
    <mergeCell ref="M13:O13"/>
    <mergeCell ref="C6:E7"/>
    <mergeCell ref="C8:E8"/>
    <mergeCell ref="C9:E9"/>
    <mergeCell ref="C10:E10"/>
    <mergeCell ref="F2:H2"/>
    <mergeCell ref="F3:H3"/>
    <mergeCell ref="C4:E5"/>
    <mergeCell ref="F4:F5"/>
    <mergeCell ref="G4:G5"/>
    <mergeCell ref="H4:H5"/>
    <mergeCell ref="H6:H7"/>
  </mergeCells>
  <drawing r:id="rId1"/>
</worksheet>
</file>